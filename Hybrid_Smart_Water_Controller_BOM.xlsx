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OM" sheetId="2" state="visible" r:id="rId4"/>
    <sheet name="Totals" sheetId="3" state="visible" r:id="rId5"/>
    <sheet name="Wiring &amp; Pinout" sheetId="4" state="visible" r:id="rId6"/>
    <sheet name="Setup Steps" sheetId="5" state="visible" r:id="rId7"/>
    <sheet name="Config Reference" sheetId="6" state="visible" r:id="rId8"/>
    <sheet name="Commissioning Tests" sheetId="7" state="visible" r:id="rId9"/>
    <sheet name="Cart Cross-check" sheetId="8" state="visible" r:id="rId10"/>
  </sheets>
  <definedNames>
    <definedName function="false" hidden="true" localSheetId="1" name="_xlnm._FilterDatabase" vbProcedure="false">BOM!$A$4:$N$64</definedName>
    <definedName function="false" hidden="true" localSheetId="5" name="_xlnm._FilterDatabase" vbProcedure="false">'Config Reference'!$A$4:$F$35</definedName>
    <definedName function="false" hidden="true" localSheetId="4" name="_xlnm._FilterDatabase" vbProcedure="false">'Setup Steps'!$A$4:$H$34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<sst xmlns="http://schemas.openxmlformats.org/spreadsheetml/2006/main" count="1481" uniqueCount="1019">
  <si>
    <t xml:space="preserve">ROCK Pi S Hybrid Smart Water Controller - Shopping, Build and Config Workbook</t>
  </si>
  <si>
    <t xml:space="preserve">Hybrid of Scenario A (hardwired safety) and Scenario B (wireless ESP-NOW garden). Prepared 11 Oct 2026.</t>
  </si>
  <si>
    <t xml:space="preserve">Sheet</t>
  </si>
  <si>
    <t xml:space="preserve">What it contains</t>
  </si>
  <si>
    <t xml:space="preserve">BOM</t>
  </si>
  <si>
    <t xml:space="preserve">Every component with quantity, cost range, why it is needed, specification, where to install, how to do it, config, Amazon.in link, cheaper options and cart status. Filter by section or status.</t>
  </si>
  <si>
    <t xml:space="preserve">Totals</t>
  </si>
  <si>
    <t xml:space="preserve">Cost totals by section (formulas), item counts, and counts by cart status.</t>
  </si>
  <si>
    <t xml:space="preserve">Wiring &amp; Pinout</t>
  </si>
  <si>
    <t xml:space="preserve">Head-end and garden I/O maps, the hardware interlock chain and the power tree.</t>
  </si>
  <si>
    <t xml:space="preserve">Setup Steps</t>
  </si>
  <si>
    <t xml:space="preserve">Ordered build procedure: what to do, where, how, and the values to configure.</t>
  </si>
  <si>
    <t xml:space="preserve">Config Reference</t>
  </si>
  <si>
    <t xml:space="preserve">Software and hardware settings with suggested defaults.</t>
  </si>
  <si>
    <t xml:space="preserve">Commissioning Tests</t>
  </si>
  <si>
    <t xml:space="preserve">Tests to run, in order, before trusting the system with the real motor.</t>
  </si>
  <si>
    <t xml:space="preserve">Cart Cross-check</t>
  </si>
  <si>
    <t xml:space="preserve">Problems found in your Amazon cart, with the fix for each.</t>
  </si>
  <si>
    <t xml:space="preserve">Legend</t>
  </si>
  <si>
    <t xml:space="preserve">Blue text</t>
  </si>
  <si>
    <t xml:space="preserve">Hardcoded input you can edit (cost estimates, quantity to deduct).</t>
  </si>
  <si>
    <t xml:space="preserve">Black text</t>
  </si>
  <si>
    <t xml:space="preserve">Formula or descriptive text.</t>
  </si>
  <si>
    <t xml:space="preserve">Orange fill</t>
  </si>
  <si>
    <t xml:space="preserve">Needs attention: wrong item, risky item or unverified value.</t>
  </si>
  <si>
    <t xml:space="preserve">Assumptions</t>
  </si>
  <si>
    <t xml:space="preserve">Costs</t>
  </si>
  <si>
    <t xml:space="preserve">My estimated Indian market ranges in INR for the quantity shown (total, not per unit). They are not live prices. Check current listings.</t>
  </si>
  <si>
    <t xml:space="preserve">Amazon links</t>
  </si>
  <si>
    <t xml:space="preserve">Amazon.in SEARCH links, not specific product pages. Compare listings and sellers before buying.</t>
  </si>
  <si>
    <t xml:space="preserve">GPIO / pins</t>
  </si>
  <si>
    <t xml:space="preserve">ROCK Pi S GPIO numbers come from the earlier master prompt and are UNVERIFIED. Run gpioinfo and the official Radxa pinout before wiring. ESP32-C3 pins are suggestions.</t>
  </si>
  <si>
    <t xml:space="preserve">Config values</t>
  </si>
  <si>
    <t xml:space="preserve">All thresholds, timeouts and limits are suggested defaults. Calibrate each soil probe and tune after testing.</t>
  </si>
  <si>
    <t xml:space="preserve">Safety</t>
  </si>
  <si>
    <t xml:space="preserve">I am not a licensed electrician. Have the 220V side (MCB, RCCB, SPD, contactor, overload, earthing, motor wiring) installed and checked by a qualified electrician.</t>
  </si>
  <si>
    <t xml:space="preserve">Rows added since the earlier list</t>
  </si>
  <si>
    <t xml:space="preserve">DIN-rail terminal blocks, PG11/PG13.5 glands and pump outlet reducers were added. WAGO cost now assumes genuine WAGO.</t>
  </si>
  <si>
    <t xml:space="preserve">Bill of Materials with install detail</t>
  </si>
  <si>
    <t xml:space="preserve">Cost = estimated total for the quantity shown (INR). Edit blue cost cells to match real prices; Totals recalculates.</t>
  </si>
  <si>
    <t xml:space="preserve">#</t>
  </si>
  <si>
    <t xml:space="preserve">Section</t>
  </si>
  <si>
    <t xml:space="preserve">Component</t>
  </si>
  <si>
    <t xml:space="preserve">Qty</t>
  </si>
  <si>
    <t xml:space="preserve">Cost low (INR, est.)</t>
  </si>
  <si>
    <t xml:space="preserve">Cost high (INR, est.)</t>
  </si>
  <si>
    <t xml:space="preserve">Why it's needed</t>
  </si>
  <si>
    <t xml:space="preserve">Specification</t>
  </si>
  <si>
    <t xml:space="preserve">Where to install / use</t>
  </si>
  <si>
    <t xml:space="preserve">How to do it (steps)</t>
  </si>
  <si>
    <t xml:space="preserve">Config / settings</t>
  </si>
  <si>
    <t xml:space="preserve">Amazon.in</t>
  </si>
  <si>
    <t xml:space="preserve">Check for cheaper</t>
  </si>
  <si>
    <t xml:space="preserve">Cart status</t>
  </si>
  <si>
    <t xml:space="preserve">1. Controller head-end</t>
  </si>
  <si>
    <t xml:space="preserve">SanDisk Max Endurance 32GB microSD</t>
  </si>
  <si>
    <t xml:space="preserve">1</t>
  </si>
  <si>
    <t xml:space="preserve">OS storage built for constant writes, which lowers the risk of SD card corruption.</t>
  </si>
  <si>
    <t xml:space="preserve">32GB, Class 10, A1, high-endurance (dash-cam / monitoring grade).</t>
  </si>
  <si>
    <t xml:space="preserve">ROCK Pi S microSD slot.</t>
  </si>
  <si>
    <t xml:space="preserve">1) Flash Armbian or Debian minimal CLI with balenaEtcher. 2) First boot, expand filesystem, update. 3) Keep logs small to reduce wear.</t>
  </si>
  <si>
    <t xml:space="preserve">Hostname waterctl. DHCP reservation or static IP. journald SystemMaxUse=50M. SQLite in WAL mode (PRAGMA journal_mode=WAL).</t>
  </si>
  <si>
    <t xml:space="preserve">Amazon.in search</t>
  </si>
  <si>
    <t xml:space="preserve">Flipkart, local SanDisk dealer</t>
  </si>
  <si>
    <t xml:space="preserve">Missing from cart</t>
  </si>
  <si>
    <t xml:space="preserve">CM108 USB audio dongle</t>
  </si>
  <si>
    <t xml:space="preserve">The ROCK Pi S has no audio jack, so this gives the speaker a clean analog output.</t>
  </si>
  <si>
    <t xml:space="preserve">USB 2.0 class-compliant, C-Media CM108, 3.5mm line-out.</t>
  </si>
  <si>
    <t xml:space="preserve">Powered USB hub port.</t>
  </si>
  <si>
    <t xml:space="preserve">1) Plug into the hub. 2) Run aplay -l to find the card number. 3) Test with speaker-test -t wav -c 1.</t>
  </si>
  <si>
    <t xml:space="preserve">Set the default ALSA card in /etc/asound.conf (pcm.!default and ctl.!default pointing at the CM108 card). Adjust volume with alsamixer.</t>
  </si>
  <si>
    <t xml:space="preserve">Robu.in, Robocraze</t>
  </si>
  <si>
    <t xml:space="preserve">3-5W USB speaker</t>
  </si>
  <si>
    <t xml:space="preserve">Plays spoken voice alerts (tank full, dry-run, broken probe).</t>
  </si>
  <si>
    <t xml:space="preserve">3-5W, USB-powered (5V, under 500mA), 3.5mm audio input.</t>
  </si>
  <si>
    <t xml:space="preserve">Near the living area or head-end, cabled to the CM108 dongle.</t>
  </si>
  <si>
    <t xml:space="preserve">1) Power from a hub USB port. 2) Connect 3.5mm to the dongle. 3) Test: espeak-ng -s 145 'Tank full' --stdout | aplay -q</t>
  </si>
  <si>
    <t xml:space="preserve">Volume about 70 percent. Daemon announces with espeak-ng -s 145 then aplay -q.</t>
  </si>
  <si>
    <t xml:space="preserve">Flipkart</t>
  </si>
  <si>
    <t xml:space="preserve">Powered USB 2.0 hub</t>
  </si>
  <si>
    <t xml:space="preserve">Powers the speaker, audio dongle and ESP32 gateway without drawing from the board's USB port, which could brown it out.</t>
  </si>
  <si>
    <t xml:space="preserve">4-port, with its OWN 5V 2A DC input jack. A slim bus-powered hub does not meet this.</t>
  </si>
  <si>
    <t xml:space="preserve">Head-end logic enclosure.</t>
  </si>
  <si>
    <t xml:space="preserve">1) Power the hub from the 5V rail (buck) or its adapter via the UPS-fed 5V. 2) Plug the hub into the ROCK Pi S USB host. 3) Connect dongle, speaker, ESP32 gateway to the hub.</t>
  </si>
  <si>
    <t xml:space="preserve">None. Confirm the cart item has a DC input before relying on it.</t>
  </si>
  <si>
    <t xml:space="preserve">In cart - verify</t>
  </si>
  <si>
    <t xml:space="preserve">12V mini-UPS</t>
  </si>
  <si>
    <t xml:space="preserve">Keeps the controller running through load shedding, so it does not reboot with relays in an unknown state.</t>
  </si>
  <si>
    <t xml:space="preserve">12V output, 2A (router-class), 18650 cells, about 3 hr backup at router load.</t>
  </si>
  <si>
    <t xml:space="preserve">Head-end enclosure or beside it.</t>
  </si>
  <si>
    <t xml:space="preserve">1) Plug the UPS into mains. 2) Feed its 12V output through a 2A fuse to the buck converter input. 3) Power only the logic (Pi, hub, relay), never the pumps.</t>
  </si>
  <si>
    <t xml:space="preserve">Keep total 12V draw under 2A (the Pi side draws about 0.5A at 12V). Test by pulling mains: the Pi must stay up.</t>
  </si>
  <si>
    <t xml:space="preserve">Flipkart, brand store</t>
  </si>
  <si>
    <t xml:space="preserve">In cart</t>
  </si>
  <si>
    <t xml:space="preserve">LM2596 / MP1584EN buck converter (head-end)</t>
  </si>
  <si>
    <t xml:space="preserve">Steps the UPS's 12V down to a regulated 5.1V for the ROCK Pi S.</t>
  </si>
  <si>
    <t xml:space="preserve">LM2596: in 4-35V, out 1.25-35V, 3A. MP1584EN: in 4.5-28V, 3A max. Set output 5.1V.</t>
  </si>
  <si>
    <t xml:space="preserve">1) Connect input only. 2) With a multimeter on the output, turn the trimmer to 5.10V BEFORE connecting the load. 3) Seal the trimmer with nail polish. 4) Feed the Pi via a USB-C power pigtail.</t>
  </si>
  <si>
    <t xml:space="preserve">Vout = 5.10V. Fuse 2A on the output. Check polarity twice.</t>
  </si>
  <si>
    <t xml:space="preserve">DS3231 RTC module</t>
  </si>
  <si>
    <t xml:space="preserve">The board loses the time on power cut, which would break schedules and cooldown timers when there is no internet.</t>
  </si>
  <si>
    <t xml:space="preserve">I2C address 0x68, accuracy about 2ppm, 3.3V supply, CR2032 / LIR2032 backup.</t>
  </si>
  <si>
    <t xml:space="preserve">ROCK Pi S header I2C pins (3 SDA, 5 SCL, to verify).</t>
  </si>
  <si>
    <t xml:space="preserve">1) Wire VCC 3.3V, GND, SDA, SCL. 2) Enable the I2C overlay. 3) i2cdetect -y &lt;bus&gt; shows 68. 4) Bind the driver and sync: hwclock --systohc after NTP.</t>
  </si>
  <si>
    <t xml:space="preserve">Use an LIR2032 or remove the charging resistor if using a CR2032 (it can swell). Use monotonic timers for lockouts as well.</t>
  </si>
  <si>
    <t xml:space="preserve">Robu.in, Sunrom</t>
  </si>
  <si>
    <t xml:space="preserve">Inline fuse holders and fuses</t>
  </si>
  <si>
    <t xml:space="preserve">2</t>
  </si>
  <si>
    <t xml:space="preserve">Protects the 12V and 5V rails from short circuits and fire.</t>
  </si>
  <si>
    <t xml:space="preserve">5x20mm glass fuse, inline holder. Assortment 1A, 2A, 3A, 5A fast-blow.</t>
  </si>
  <si>
    <t xml:space="preserve">UPS 12V output, head-end 5V output, garden 12V input.</t>
  </si>
  <si>
    <t xml:space="preserve">1) Cut the positive lead and insert the holder. 2) Fit the fuse for that rail. 3) Label the holder.</t>
  </si>
  <si>
    <t xml:space="preserve">UPS 12V out: 2A. Head-end 5V: 2A. Garden 12V: 3A. The 10A fuse pack in the cart is too large for these rails.</t>
  </si>
  <si>
    <t xml:space="preserve">Local electronics shop</t>
  </si>
  <si>
    <t xml:space="preserve">In cart - fix</t>
  </si>
  <si>
    <t xml:space="preserve">4-channel optocoupler module</t>
  </si>
  <si>
    <t xml:space="preserve">Isolates the long float and sensor cables from the Pi's GPIO, so a surge does not destroy the board.</t>
  </si>
  <si>
    <t xml:space="preserve">PC817, 4 channels. Check the input range on the listing (about 3-24V). Output side runs on the Pi's 3.3V.</t>
  </si>
  <si>
    <t xml:space="preserve">1) Wire each float loop (5V fused, through the float, to the opto input). 2) Opto output to a Pi GPIO input. 3) Add a TVS across each input pair.</t>
  </si>
  <si>
    <t xml:space="preserve">Outputs read active-low. Enable internal pull-ups in libgpiod and debounce 100ms in software.</t>
  </si>
  <si>
    <t xml:space="preserve">TVS diodes P6KE18CA (bidirectional)</t>
  </si>
  <si>
    <t xml:space="preserve">6</t>
  </si>
  <si>
    <t xml:space="preserve">Clamp voltage spikes induced on the long sensor cables.</t>
  </si>
  <si>
    <t xml:space="preserve">P6KE18CA, 600W, bidirectional, about 18V breakdown. Cart has a 12-piece pack.</t>
  </si>
  <si>
    <t xml:space="preserve">Across each sensor wire pair at the controller end.</t>
  </si>
  <si>
    <t xml:space="preserve">1) Solder one TVS between the signal wire and ground at the terminal block of each long cable. 2) Keep the leads short.</t>
  </si>
  <si>
    <t xml:space="preserve">No setting. Use one per long wire pair (tank low, interlock nodes, sump, leak).</t>
  </si>
  <si>
    <t xml:space="preserve">Electronicscomp, local shop</t>
  </si>
  <si>
    <t xml:space="preserve">Water leak sensor (digital, LM393)</t>
  </si>
  <si>
    <t xml:space="preserve">Detects leaks or flooding in the enclosure area.</t>
  </si>
  <si>
    <t xml:space="preserve">3.3-5V, with LM393 comparator and DO output pin. The cart's REL_35 is analog and not suitable.</t>
  </si>
  <si>
    <t xml:space="preserve">Floor of the head-end enclosure or under the garden box.</t>
  </si>
  <si>
    <t xml:space="preserve">1) Place the probe flat at the lowest point. 2) Connect DO to opto channel 4. 3) Adjust the pot until a wet finger trips it.</t>
  </si>
  <si>
    <t xml:space="preserve">Alarm action: stop all pumps and speak an alert. Power at 3.3V.</t>
  </si>
  <si>
    <t xml:space="preserve">Logic enclosure IP65 200x150x100</t>
  </si>
  <si>
    <t xml:space="preserve">Weatherproof, dust-proof housing for the Pi and logic boards, kept separate from mains.</t>
  </si>
  <si>
    <t xml:space="preserve">IP65 ABS, 200x150x100 mm, clear or grey lid.</t>
  </si>
  <si>
    <t xml:space="preserve">Wall near the motor starter, but separate from the mains enclosure.</t>
  </si>
  <si>
    <t xml:space="preserve">1) Plan the layout. 2) Drill gland holes in the bottom face only. 3) Mount standoffs for the Pi and perfboard.</t>
  </si>
  <si>
    <t xml:space="preserve">Keep at least 5 cm from mains wiring and never run mains inside this box.</t>
  </si>
  <si>
    <t xml:space="preserve">IndiaMART, local electrical shop</t>
  </si>
  <si>
    <t xml:space="preserve">PG7 / PG9 cable glands</t>
  </si>
  <si>
    <t xml:space="preserve">10</t>
  </si>
  <si>
    <t xml:space="preserve">Seal the cable entries so water and insects stay out.</t>
  </si>
  <si>
    <t xml:space="preserve">PG7 fits 3-6.5mm cable, PG9 4-8mm. Cut-outs: PG7 12.5mm, PG9 15.2mm.</t>
  </si>
  <si>
    <t xml:space="preserve">All logic enclosure entries.</t>
  </si>
  <si>
    <t xml:space="preserve">1) Drill with a step bit. 2) Fit the gland and locknut. 3) Tighten the dome until it grips the cable.</t>
  </si>
  <si>
    <t xml:space="preserve">PG7 alone (as in the cart) is too small for the shielded cable. Add PG9.</t>
  </si>
  <si>
    <t xml:space="preserve">IndiaMART</t>
  </si>
  <si>
    <t xml:space="preserve">Partly in cart</t>
  </si>
  <si>
    <t xml:space="preserve">WAGO 221 lever connectors (2-, 3-, 5-way)</t>
  </si>
  <si>
    <t xml:space="preserve">Reliable screwless joints for power and ground wires.</t>
  </si>
  <si>
    <t xml:space="preserve">221-412 / 413 / 415, 0.14-4 mm2, 32A, 450V. Genuine WAGO.</t>
  </si>
  <si>
    <t xml:space="preserve">Low-voltage joins only (logic and garden enclosures).</t>
  </si>
  <si>
    <t xml:space="preserve">1) Strip 11mm. 2) Lift the lever, insert the wire, close. 3) Tug test every wire.</t>
  </si>
  <si>
    <t xml:space="preserve">Suggested use: 5-way for ground bus and 5V rail, 3-way for splits, 2-way for extensions. Never in the motor circuit.</t>
  </si>
  <si>
    <t xml:space="preserve">Local electrical shop (check for genuine WAGO)</t>
  </si>
  <si>
    <t xml:space="preserve">10 kOhm resistors, 1/4W</t>
  </si>
  <si>
    <t xml:space="preserve">Pull-downs hold the MOSFET gates and relay trigger at a known state during boot or reset.</t>
  </si>
  <si>
    <t xml:space="preserve">10 kOhm 1/4W metal film, 1 percent. The cart has 10 OHM by mistake.</t>
  </si>
  <si>
    <t xml:space="preserve">Perfboard in the garden node and in the head-end.</t>
  </si>
  <si>
    <t xml:space="preserve">1) Solder one resistor from each output pin to GND. 2) Check the colour code with a multimeter.</t>
  </si>
  <si>
    <t xml:space="preserve">Value must be 10k, not 10 ohms.</t>
  </si>
  <si>
    <t xml:space="preserve">Sunrom, local shop</t>
  </si>
  <si>
    <t xml:space="preserve">In cart - WRONG item</t>
  </si>
  <si>
    <t xml:space="preserve">Heat shrink kit (2-6 mm, adhesive-lined)</t>
  </si>
  <si>
    <t xml:space="preserve">Waterproofs and insulates solder joints, especially on submerged pump wires.</t>
  </si>
  <si>
    <t xml:space="preserve">Assorted 2, 3, 4, 6 mm, 3:1 adhesive-lined preferred. The cart's 6-12 mm kit is too big.</t>
  </si>
  <si>
    <t xml:space="preserve">Pump leads, solder splices, sensor wires.</t>
  </si>
  <si>
    <t xml:space="preserve">1) Slide the tube on before soldering. 2) Solder. 3) Shrink with a heat gun until the adhesive shows at the ends.</t>
  </si>
  <si>
    <t xml:space="preserve">None.</t>
  </si>
  <si>
    <t xml:space="preserve">Local shop</t>
  </si>
  <si>
    <t xml:space="preserve">UV-resistant cable ties 150mm</t>
  </si>
  <si>
    <t xml:space="preserve">100</t>
  </si>
  <si>
    <t xml:space="preserve">Secure cables and tubing, and the UV-resistant type survives outdoors.</t>
  </si>
  <si>
    <t xml:space="preserve">150mm, black UV-stabilised nylon.</t>
  </si>
  <si>
    <t xml:space="preserve">All harnesses and tubing runs.</t>
  </si>
  <si>
    <t xml:space="preserve">1) Tie at 20-30 cm spacing. 2) Do not over-tighten on shielded cable. 3) Trim the tails.</t>
  </si>
  <si>
    <t xml:space="preserve">Buy one pack of 100 only (the cart has 8 packs).</t>
  </si>
  <si>
    <t xml:space="preserve">Local hardware shop</t>
  </si>
  <si>
    <t xml:space="preserve">In cart - qty wrong</t>
  </si>
  <si>
    <t xml:space="preserve">DC barrel pigtails 5.5 x 2.1mm</t>
  </si>
  <si>
    <t xml:space="preserve">2 pr</t>
  </si>
  <si>
    <t xml:space="preserve">Tap the DC power rails safely without cutting adapters.</t>
  </si>
  <si>
    <t xml:space="preserve">5.5x2.1mm male and female, 18AWG, tinned leads.</t>
  </si>
  <si>
    <t xml:space="preserve">Adapter to buck input, UPS to buck input.</t>
  </si>
  <si>
    <t xml:space="preserve">1) Check polarity with a multimeter (centre positive). 2) Connect into a lever connector or terminal block.</t>
  </si>
  <si>
    <t xml:space="preserve">Centre-positive. Mark the positive lead.</t>
  </si>
  <si>
    <t xml:space="preserve">Robu.in</t>
  </si>
  <si>
    <t xml:space="preserve">Terminal blocks, perfboard, jumper wires</t>
  </si>
  <si>
    <t xml:space="preserve">1 set</t>
  </si>
  <si>
    <t xml:space="preserve">Neat, secure connections between the Pi header and the other modules.</t>
  </si>
  <si>
    <t xml:space="preserve">5.08mm screw terminals, 5x7cm perfboard, Dupont F-F 40-pin set.</t>
  </si>
  <si>
    <t xml:space="preserve">Head-end and garden enclosure.</t>
  </si>
  <si>
    <t xml:space="preserve">1) Build a small carrier board with a ground bus and a 3.3V bus. 2) Mount the pull-downs on it. 3) Label each terminal.</t>
  </si>
  <si>
    <t xml:space="preserve">Garden ground has more than 9 wires, so use a screw terminal strip, not a WAGO chain.</t>
  </si>
  <si>
    <t xml:space="preserve">2. Mains &amp; motor control</t>
  </si>
  <si>
    <t xml:space="preserve">DP MCB 16A, C curve</t>
  </si>
  <si>
    <t xml:space="preserve">Breaks the circuit on a short or overload before the wiring overheats.</t>
  </si>
  <si>
    <t xml:space="preserve">2-pole, 16A, C curve, 10kA, ISI marked. Havells / Schneider / Legrand / L&amp;T preferred.</t>
  </si>
  <si>
    <t xml:space="preserve">Mains enclosure, first device on the incoming supply (or the existing DB).</t>
  </si>
  <si>
    <t xml:space="preserve">1) Snap onto the DIN rail. 2) Electrician connects incoming L/N. 3) Label the circuit.</t>
  </si>
  <si>
    <t xml:space="preserve">16A suits a motor up to about 1.5 HP. Electrician confirms against the nameplate.</t>
  </si>
  <si>
    <t xml:space="preserve">Local electrical dealer</t>
  </si>
  <si>
    <t xml:space="preserve">In cart - verify brand</t>
  </si>
  <si>
    <t xml:space="preserve">RCCB 2P 25A 30mA</t>
  </si>
  <si>
    <t xml:space="preserve">Trips on earth leakage, which protects people from shock around water.</t>
  </si>
  <si>
    <t xml:space="preserve">2-pole, 25A, 30mA, Type AC or A, ISI marked.</t>
  </si>
  <si>
    <t xml:space="preserve">Mains enclosure, after the MCB.</t>
  </si>
  <si>
    <t xml:space="preserve">1) Mount after the MCB. 2) Electrician wires L/N through it. 3) Press the test button after install and monthly.</t>
  </si>
  <si>
    <t xml:space="preserve">Sensitivity 30mA. Must trip when the test button is pressed.</t>
  </si>
  <si>
    <t xml:space="preserve">Surge protector Type 2 (DIN rail)</t>
  </si>
  <si>
    <t xml:space="preserve">Absorbs mains surges that could damage the motor and controller.</t>
  </si>
  <si>
    <t xml:space="preserve">Type 2, 275V AC, 1P+N, Imax about 40kA, DIN rail. Confirm the listing says Type 2.</t>
  </si>
  <si>
    <t xml:space="preserve">Mains enclosure, fed through its own MCB or the main MCB.</t>
  </si>
  <si>
    <t xml:space="preserve">1) Electrician connects with short leads (under 0.5m) to the earth bar. 2) Check the status window is green.</t>
  </si>
  <si>
    <t xml:space="preserve">Short, straight leads matter more than the rating.</t>
  </si>
  <si>
    <t xml:space="preserve">In cart - verify type</t>
  </si>
  <si>
    <t xml:space="preserve">AC contactor 25A, 220V coil</t>
  </si>
  <si>
    <t xml:space="preserve">Physically switches the 220V motor on and off, so the Pi never handles mains.</t>
  </si>
  <si>
    <t xml:space="preserve">25A, 2-pole, 220V AC coil. Check the AC-3 motor rating is at least 1.25 x motor current. Schneider / L&amp;T / Siemens.</t>
  </si>
  <si>
    <t xml:space="preserve">Mains enclosure, DIN rail or panel.</t>
  </si>
  <si>
    <t xml:space="preserve">1) Motor supply through the contactor poles. 2) Coil A1 via the relay contact and A2 to neutral. 3) Fit the RC snubber across the coil.</t>
  </si>
  <si>
    <t xml:space="preserve">The cart's XYNO 30A is unbranded. Prefer a branded contactor.</t>
  </si>
  <si>
    <t xml:space="preserve">In cart - risky brand</t>
  </si>
  <si>
    <t xml:space="preserve">Thermal overload relay (range matched to motor)</t>
  </si>
  <si>
    <t xml:space="preserve">Cuts the motor if it draws too much current or runs hot, such as when dry or jammed.</t>
  </si>
  <si>
    <t xml:space="preserve">Adjustable range that brackets the motor's rated current. Must mount to your contactor model.</t>
  </si>
  <si>
    <t xml:space="preserve">Directly below the contactor in the mains enclosure.</t>
  </si>
  <si>
    <t xml:space="preserve">1) Read the motor nameplate FLC. 2) Mount to the contactor. 3) Set the dial to FLC. 4) Test the trip button.</t>
  </si>
  <si>
    <t xml:space="preserve">The cart's MJ1+ 6-10A suits a motor of about 1 HP or more. A 0.5 HP motor (about 3-4A) needs a lower range.</t>
  </si>
  <si>
    <t xml:space="preserve">Local electrical dealer (match it to the contactor model)</t>
  </si>
  <si>
    <t xml:space="preserve">In cart - verify range</t>
  </si>
  <si>
    <t xml:space="preserve">5V relay module (pilot relay)</t>
  </si>
  <si>
    <t xml:space="preserve">Lets the 3.3V GPIO trigger the contactor coil, and it is where the hardware float interlock goes in series.</t>
  </si>
  <si>
    <t xml:space="preserve">1-channel 5V, opto-isolated, contacts 10A 250VAC, with a high/low trigger jumper if possible.</t>
  </si>
  <si>
    <t xml:space="preserve">Mains enclosure; only the 5V / GND / IN wires come from the head-end.</t>
  </si>
  <si>
    <t xml:space="preserve">1) Wire the contacts in series with contactor coil A1. 2) Wire VCC through the float interlock chain. 3) Bench-test polarity with the motor disconnected.</t>
  </si>
  <si>
    <t xml:space="preserve">If the module is active-LOW, invert it in software and add a pull-up so the relay is OFF at boot. Keep the control cable short (about 3m).</t>
  </si>
  <si>
    <t xml:space="preserve">In cart - verify polarity</t>
  </si>
  <si>
    <t xml:space="preserve">RC snubber (0.1uF 400V + 100 Ohm 2W)</t>
  </si>
  <si>
    <t xml:space="preserve">Absorbs the arc and voltage spike from the contactor coil, which protects the relay contacts.</t>
  </si>
  <si>
    <t xml:space="preserve">0.1uF X2 / 400V film capacitor in series with 100 ohm 2W resistor.</t>
  </si>
  <si>
    <t xml:space="preserve">Across contactor coil terminals A1 and A2.</t>
  </si>
  <si>
    <t xml:space="preserve">1) Solder the capacitor to the resistor. 2) Sleeve the joint with heat shrink. 3) Connect across A1-A2.</t>
  </si>
  <si>
    <t xml:space="preserve">No setting.</t>
  </si>
  <si>
    <t xml:space="preserve">22mm selector switch, 3-position (Auto / Off / Manual)</t>
  </si>
  <si>
    <t xml:space="preserve">Lets you run the motor by hand if the controller fails.</t>
  </si>
  <si>
    <t xml:space="preserve">22mm, 3-position latching, 2 NO contacts (ZB2-BE101C type).</t>
  </si>
  <si>
    <t xml:space="preserve">Mains enclosure door or side panel.</t>
  </si>
  <si>
    <t xml:space="preserve">1) Auto routes the relay contact to the coil. 2) Off opens the coil. 3) Manual bypasses the relay but keeps the overload NC contact in series.</t>
  </si>
  <si>
    <t xml:space="preserve">Electrician decides whether the overflow float stays in the Manual path.</t>
  </si>
  <si>
    <t xml:space="preserve">Mains enclosure IP65 250x200x120</t>
  </si>
  <si>
    <t xml:space="preserve">Keeps 220V parts apart from the low-voltage logic for safety.</t>
  </si>
  <si>
    <t xml:space="preserve">IP65 ABS or polycarbonate, about 250x200x120 mm, room for DIN rail.</t>
  </si>
  <si>
    <t xml:space="preserve">Wall near the motor starter.</t>
  </si>
  <si>
    <t xml:space="preserve">1) Mount the DIN rail. 2) Lay out MCB, RCCB, SPD, contactor, overload and relay module. 3) Drill gland holes in the bottom.</t>
  </si>
  <si>
    <t xml:space="preserve">Earth every metal part to the PE bar.</t>
  </si>
  <si>
    <t xml:space="preserve">DIN rail 35mm</t>
  </si>
  <si>
    <t xml:space="preserve">Mounting rail for the MCB, RCCB, contactor and overload relay.</t>
  </si>
  <si>
    <t xml:space="preserve">35mm top-hat, steel, about 30 cm.</t>
  </si>
  <si>
    <t xml:space="preserve">Inside the mains enclosure.</t>
  </si>
  <si>
    <t xml:space="preserve">1) Cut to fit. 2) Screw to the back plate at both ends. 3) Deburr cut edges.</t>
  </si>
  <si>
    <t xml:space="preserve">Wire ferrules and lugs kit</t>
  </si>
  <si>
    <t xml:space="preserve">Give secure, non-fraying connections at the contactor and MCB terminals.</t>
  </si>
  <si>
    <t xml:space="preserve">Insulated ferrules 0.5-6 mm2 and a crimp tool. The cart has a 1250-piece kit.</t>
  </si>
  <si>
    <t xml:space="preserve">Every stranded wire going into a screw terminal.</t>
  </si>
  <si>
    <t xml:space="preserve">1) Strip to ferrule length. 2) Crimp with the correct size. 3) Tug test.</t>
  </si>
  <si>
    <t xml:space="preserve">Ferrule size: 2.5 mm2 wire uses the 2.5 mm2 ferrule.</t>
  </si>
  <si>
    <t xml:space="preserve">2.5 sq mm FRLS copper wire (red, black, green)</t>
  </si>
  <si>
    <t xml:space="preserve">10 m</t>
  </si>
  <si>
    <t xml:space="preserve">Correct heavy-duty wire for the motor circuit, and flame-retardant.</t>
  </si>
  <si>
    <t xml:space="preserve">2.5 mm2 FRLS copper, ISI marked (Polycab, Havells).</t>
  </si>
  <si>
    <t xml:space="preserve">MCB, RCCB, contactor, overload relay, motor, and the earth link.</t>
  </si>
  <si>
    <t xml:space="preserve">1) Cut to length. 2) Ferrule the ends. 3) Red for phase, black for neutral, green for earth.</t>
  </si>
  <si>
    <t xml:space="preserve">Use the existing motor cable if it is in good condition.</t>
  </si>
  <si>
    <t xml:space="preserve">Local electrical dealer (usually cheaper per metre)</t>
  </si>
  <si>
    <t xml:space="preserve">DIN-rail terminal blocks 2.5mm2 + end stops</t>
  </si>
  <si>
    <t xml:space="preserve">6-8</t>
  </si>
  <si>
    <t xml:space="preserve">Neat L, N and earth distribution in the mains enclosure, and easy for an electrician to inspect.</t>
  </si>
  <si>
    <t xml:space="preserve">2.5 mm2 feed-through terminals (Connectwell / Elmex), plus end stops and a PE terminal.</t>
  </si>
  <si>
    <t xml:space="preserve">Mains enclosure.</t>
  </si>
  <si>
    <t xml:space="preserve">1) Snap onto the DIN rail. 2) Wire L, N and PE rows. 3) Label them.</t>
  </si>
  <si>
    <t xml:space="preserve">Count depends on the starter wiring; the electrician confirms.</t>
  </si>
  <si>
    <t xml:space="preserve">PG11 / PG13.5 glands (mains)</t>
  </si>
  <si>
    <t xml:space="preserve">4</t>
  </si>
  <si>
    <t xml:space="preserve">The 2.5 mm2 motor and supply cables need larger glands than PG7 or PG9.</t>
  </si>
  <si>
    <t xml:space="preserve">PG11 fits 5-10mm cable, PG13.5 6-12mm. Cut-outs: PG11 18.6mm, PG13.5 20.4mm.</t>
  </si>
  <si>
    <t xml:space="preserve">Mains enclosure entries.</t>
  </si>
  <si>
    <t xml:space="preserve">1) Drill the hole with a step bit. 2) Fit the gland. 3) Tighten around the cable jacket.</t>
  </si>
  <si>
    <t xml:space="preserve">3. Hardwired sensors</t>
  </si>
  <si>
    <t xml:space="preserve">Tank float switches (Full = NC, Low = reversible)</t>
  </si>
  <si>
    <t xml:space="preserve">Detect when the overhead tank is low (start motor) and full (stop motor).</t>
  </si>
  <si>
    <t xml:space="preserve">Full: normally-closed type (closed while below full, opens at full). Low: reversible NO/NC. Rated for 5-12V DC loops. SS316 preferred.</t>
  </si>
  <si>
    <t xml:space="preserve">Full float just below the overflow level. Low float at about 25-30 percent of tank height.</t>
  </si>
  <si>
    <t xml:space="preserve">1) Mount through the tank wall with a nut or on a bracket. 2) Run the 4-core shielded cable to the controller. 3) Ground the shield at the controller end only.</t>
  </si>
  <si>
    <t xml:space="preserve">Full float is in the relay VCC interlock chain. Low float goes to opto channel 1. The cart's POLO STAR is plastic; confirm it suits drinking tank water.</t>
  </si>
  <si>
    <t xml:space="preserve">IndiaMART sellers</t>
  </si>
  <si>
    <t xml:space="preserve">Sump float (NO type, closes when wet)</t>
  </si>
  <si>
    <t xml:space="preserve">Stops the motor if the sump or borewell runs dry, which would otherwise burn it out.</t>
  </si>
  <si>
    <t xml:space="preserve">Normally-open type: contacts open when the float is down (dry), close when up (water present). Robust, vertical.</t>
  </si>
  <si>
    <t xml:space="preserve">Sump or borewell, above the pump intake with margin.</t>
  </si>
  <si>
    <t xml:space="preserve">1) Mount at least 15 cm above the intake. 2) Run the 2-core shielded cable to the controller. 3) Wire into the interlock chain after the Full float.</t>
  </si>
  <si>
    <t xml:space="preserve">Open on dry means the chain opens and the motor stops.</t>
  </si>
  <si>
    <t xml:space="preserve">4-core shielded cable 0.5 mm2</t>
  </si>
  <si>
    <t xml:space="preserve">30 m</t>
  </si>
  <si>
    <t xml:space="preserve">Carries the Low and Full float signals to the roof, and the shield rejects mains hum.</t>
  </si>
  <si>
    <t xml:space="preserve">4 x 0.5 mm2 copper, overall foil + drain wire, UV-rated preferred.</t>
  </si>
  <si>
    <t xml:space="preserve">From the overhead tank to the head-end.</t>
  </si>
  <si>
    <t xml:space="preserve">1) Pull through conduit. 2) Keep 10 cm or more from mains runs. 3) Leave a drip loop at the tank gland.</t>
  </si>
  <si>
    <t xml:space="preserve">Shield drain wire to ground at the controller end only.</t>
  </si>
  <si>
    <t xml:space="preserve">Local cable dealer</t>
  </si>
  <si>
    <t xml:space="preserve">2-core shielded cable 0.5 mm2</t>
  </si>
  <si>
    <t xml:space="preserve">Carries the sump float signal to the controller.</t>
  </si>
  <si>
    <t xml:space="preserve">2 x 0.5 mm2 copper, shielded.</t>
  </si>
  <si>
    <t xml:space="preserve">From the sump to the head-end.</t>
  </si>
  <si>
    <t xml:space="preserve">1) Run in conduit. 2) Seal the sump end. 3) Ground the shield at the controller end.</t>
  </si>
  <si>
    <t xml:space="preserve">As above.</t>
  </si>
  <si>
    <t xml:space="preserve">4. Wireless garden station</t>
  </si>
  <si>
    <t xml:space="preserve">ESP32-C3 Super Mini (garden node + USB gateway)</t>
  </si>
  <si>
    <t xml:space="preserve">One runs the garden node, and one plugged into the Pi receives its ESP-NOW messages.</t>
  </si>
  <si>
    <t xml:space="preserve">RISC-V 160 MHz, 4MB flash, Wi-Fi 2.4GHz plus ESP-NOW, native USB-C.</t>
  </si>
  <si>
    <t xml:space="preserve">Garden enclosure (node) and the hub at the head-end (gateway).</t>
  </si>
  <si>
    <t xml:space="preserve">1) Install the ESP32 board package. 2) Select ESP32C3 Dev Module with USB CDC On Boot enabled. 3) Flash gateway and node sketches. 4) Note both MACs.</t>
  </si>
  <si>
    <t xml:space="preserve">ESP-NOW channel 1 on both. Heartbeat every 5s. Gateway serial 115200 JSON lines on /dev/ttyACM0. Node turns pumps OFF if no gateway ack for 60s.</t>
  </si>
  <si>
    <t xml:space="preserve">Robu.in, Robocraze, ThinkRobotics</t>
  </si>
  <si>
    <t xml:space="preserve">ADS1115 16-bit ADC</t>
  </si>
  <si>
    <t xml:space="preserve">Reads the soil sensors' analog voltages, which the ESP32 cannot do accurately by itself.</t>
  </si>
  <si>
    <t xml:space="preserve">16-bit, 4 single-ended channels, I2C, address 0x48 (ADDR to GND).</t>
  </si>
  <si>
    <t xml:space="preserve">Garden enclosure.</t>
  </si>
  <si>
    <t xml:space="preserve">1) Power from 3.3V. 2) SDA/SCL to the ESP32. 3) Soil sensors on A0-A3.</t>
  </si>
  <si>
    <t xml:space="preserve">Gain 1 (+/-4.096V), 128 SPS. Inputs must not exceed VDD + 0.3V.</t>
  </si>
  <si>
    <t xml:space="preserve">Capacitive soil moisture sensors</t>
  </si>
  <si>
    <t xml:space="preserve">Measure soil moisture without the corrosion that resistive probes suffer.</t>
  </si>
  <si>
    <t xml:space="preserve">Capacitive v1.2 / V2.0, 3.3-5.5V supply, analog output about 1.2-3.0V (reads lower when wet).</t>
  </si>
  <si>
    <t xml:space="preserve">One in each plant pot.</t>
  </si>
  <si>
    <t xml:space="preserve">1) Insert up to the line mark. 2) Seal the top electronics. 3) Record the dry (in air) and wet (in water) voltage per probe.</t>
  </si>
  <si>
    <t xml:space="preserve">Store dry_V and wet_V per plant. Sanity band per plant = [wet_V - 0.2, dry_V + 0.2]. The generic 0.5-3.0V band is only a start.</t>
  </si>
  <si>
    <t xml:space="preserve">4-channel LR7843 MOSFET board</t>
  </si>
  <si>
    <t xml:space="preserve">Lets 3.3V signals switch the 12V pumps.</t>
  </si>
  <si>
    <t xml:space="preserve">LR7843 MOSFET module, 3.3V logic compatible, 12V loads up to about 3A each.</t>
  </si>
  <si>
    <t xml:space="preserve">1) 12V+ to the module V+. 2) ESP32 GPIO to each gate IN with a 10k pull-down to GND. 3) Pump negative to each OUT.</t>
  </si>
  <si>
    <t xml:space="preserve">Gates on GPIO0, 1, 3, 10 (suggested). Four single-channel modules (as in the cart) do the same job.</t>
  </si>
  <si>
    <t xml:space="preserve">12V mini submersible pumps</t>
  </si>
  <si>
    <t xml:space="preserve">One pump per plant for individual watering.</t>
  </si>
  <si>
    <t xml:space="preserve">12V DC, about 3W, 240 L/h, 3m head. Confirm the listing is rated 12V, not 3-6V.</t>
  </si>
  <si>
    <t xml:space="preserve">Reservoir bottom, one per plant line.</t>
  </si>
  <si>
    <t xml:space="preserve">1) Solder the leads and heat-shrink. 2) Fit the flyback diode. 3) Submerge fully. 4) Never run dry.</t>
  </si>
  <si>
    <t xml:space="preserve">Default pulse 15s, max 60s per run, 6 hour cooldown per zone.</t>
  </si>
  <si>
    <t xml:space="preserve">In cart - verify voltage</t>
  </si>
  <si>
    <t xml:space="preserve">1N4007 flyback diodes</t>
  </si>
  <si>
    <t xml:space="preserve">Flyback protection that stops pump voltage kicks from damaging the MOSFETs.</t>
  </si>
  <si>
    <t xml:space="preserve">1N4007, 1A, 1000V. Cart has a 50-piece pack.</t>
  </si>
  <si>
    <t xml:space="preserve">Across each pump's terminals.</t>
  </si>
  <si>
    <t xml:space="preserve">1) Cathode (stripe) to pump positive. 2) Anode to pump negative. 3) Keep the leads short and sleeve them.</t>
  </si>
  <si>
    <t xml:space="preserve">Polarity matters.</t>
  </si>
  <si>
    <t xml:space="preserve">PP float switch (reservoir dry-run)</t>
  </si>
  <si>
    <t xml:space="preserve">Stops the plant pumps if the reservoir empties, since running dry would burn them out.</t>
  </si>
  <si>
    <t xml:space="preserve">Polypropylene vertical float, dry contact, food-grade.</t>
  </si>
  <si>
    <t xml:space="preserve">Reservoir wall, about 5cm above the pump intake.</t>
  </si>
  <si>
    <t xml:space="preserve">1) Mount at the minimum level. 2) Wire one side to ESP32 GPIO5 and the other to GND. 3) Use the internal pull-up.</t>
  </si>
  <si>
    <t xml:space="preserve">Closed when wet (reads LOW). Open means pumps are locked out.</t>
  </si>
  <si>
    <t xml:space="preserve">12V 3A DC adapter</t>
  </si>
  <si>
    <t xml:space="preserve">Powers the pumps at the garden, because the garden node cannot take 12V over the radio link.</t>
  </si>
  <si>
    <t xml:space="preserve">12V 3A regulated, 5.5x2.1mm, centre-positive.</t>
  </si>
  <si>
    <t xml:space="preserve">Garden enclosure, from a weatherproof indoor socket.</t>
  </si>
  <si>
    <t xml:space="preserve">1) Fit a 3A fuse on the positive lead. 2) Feed MOSFET V+ and the buck input.</t>
  </si>
  <si>
    <t xml:space="preserve">Four pumps at 3W each use about 1A. Run at most two pumps at a time.</t>
  </si>
  <si>
    <t xml:space="preserve">Robu.in, Flipkart</t>
  </si>
  <si>
    <t xml:space="preserve">MP1584EN buck converter (garden, to 5V)</t>
  </si>
  <si>
    <t xml:space="preserve">Powers the ESP32 from the same 12V adapter, so no second adapter is needed.</t>
  </si>
  <si>
    <t xml:space="preserve">MP1584EN, in 4.5-28V, out set to 5.0V, 3A max.</t>
  </si>
  <si>
    <t xml:space="preserve">1) Input from the 12V rail. 2) Set the output to 5.0V before connecting the ESP32. 3) Output to the ESP32 5V pin.</t>
  </si>
  <si>
    <t xml:space="preserve">Vout = 5.0V. Seal the trimmer.</t>
  </si>
  <si>
    <t xml:space="preserve">YF-S401 flow meter</t>
  </si>
  <si>
    <t xml:space="preserve">Confirms water is actually flowing, so a clogged line or dead pump is detected.</t>
  </si>
  <si>
    <t xml:space="preserve">5V, 0.3-6 L/min, about 5880 pulses per litre (calibrate).</t>
  </si>
  <si>
    <t xml:space="preserve">Inline on one pump line, or on a shared riser if you plumb a manifold.</t>
  </si>
  <si>
    <t xml:space="preserve">1) Mount with the arrow pointing downstream. 2) Signal to ESP32 GPIO4 through a 10k / 20k divider (5V down to 3.3V). 3) Count pulses with an interrupt.</t>
  </si>
  <si>
    <t xml:space="preserve">With four independent pump lines, one meter only checks the line it sits on. Place it on Plant 1 as a health check.</t>
  </si>
  <si>
    <t xml:space="preserve">4mm check valves</t>
  </si>
  <si>
    <t xml:space="preserve">Stop water draining back, which keeps the pumps primed.</t>
  </si>
  <si>
    <t xml:space="preserve">4mm barbed, low cracking pressure, flow arrow marked.</t>
  </si>
  <si>
    <t xml:space="preserve">One on each pump outlet line.</t>
  </si>
  <si>
    <t xml:space="preserve">1) Fit with the arrow towards the plant. 2) Bench-test that the tiny pump can open it.</t>
  </si>
  <si>
    <t xml:space="preserve">Choose the lowest cracking pressure you can find, since spring valves can stall 3W pumps.</t>
  </si>
  <si>
    <t xml:space="preserve">IndiaMART, local garden or aquarium shop</t>
  </si>
  <si>
    <t xml:space="preserve">4mm barbed tees (anti-siphon)</t>
  </si>
  <si>
    <t xml:space="preserve">The air vent breaks gravity siphoning, which would otherwise drain the reservoir after the pump stops.</t>
  </si>
  <si>
    <t xml:space="preserve">4mm barbed tee. Cart has a 10-pack.</t>
  </si>
  <si>
    <t xml:space="preserve">At the highest point of each line, above the waterline.</t>
  </si>
  <si>
    <t xml:space="preserve">1) Fit the tee. 2) Run the third leg as a short upward loop whose open end vents back over the reservoir. 3) Test by stopping the pump and watching for backflow.</t>
  </si>
  <si>
    <t xml:space="preserve">Use this one anti-siphon design only.</t>
  </si>
  <si>
    <t xml:space="preserve">Local garden or aquarium shop</t>
  </si>
  <si>
    <t xml:space="preserve">4/7mm silicone tubing</t>
  </si>
  <si>
    <t xml:space="preserve">15 m</t>
  </si>
  <si>
    <t xml:space="preserve">Carries water from the pumps to each plant.</t>
  </si>
  <si>
    <t xml:space="preserve">4mm ID / 7mm OD food-grade silicone or flexible PVC. Cart's 4x6mm aquarium tube is too thin-walled.</t>
  </si>
  <si>
    <t xml:space="preserve">Pump to plant, along the garden bed.</t>
  </si>
  <si>
    <t xml:space="preserve">1) Cut to length per plant. 2) Avoid sharp kinks. 3) Secure with cable ties.</t>
  </si>
  <si>
    <t xml:space="preserve">The Grassland 4mm drip kit in the cart already includes 10 m.</t>
  </si>
  <si>
    <t xml:space="preserve">Drip stakes / emitters</t>
  </si>
  <si>
    <t xml:space="preserve">Hold the tube in the soil and meter the water to each plant.</t>
  </si>
  <si>
    <t xml:space="preserve">4mm adjustable drip stakes, 360 degree.</t>
  </si>
  <si>
    <t xml:space="preserve">One in each pot.</t>
  </si>
  <si>
    <t xml:space="preserve">1) Push into the soil near the stem, not the sensor. 2) Set the emitter to a gentle drip.</t>
  </si>
  <si>
    <t xml:space="preserve">The cart has far more than the 4 needed.</t>
  </si>
  <si>
    <t xml:space="preserve">Local garden shop</t>
  </si>
  <si>
    <t xml:space="preserve">Pump inlet strainer / pre-filter</t>
  </si>
  <si>
    <t xml:space="preserve">Keeps debris from jamming the pump impellers.</t>
  </si>
  <si>
    <t xml:space="preserve">Sponge or 40-mesh nylon sleeve sized to the pump inlet. The cart's pressure-washer filter will not fit.</t>
  </si>
  <si>
    <t xml:space="preserve">Over each pump inlet in the reservoir.</t>
  </si>
  <si>
    <t xml:space="preserve">1) Slip over the inlet. 2) Secure with a small tie. 3) Rinse monthly.</t>
  </si>
  <si>
    <t xml:space="preserve">Local aquarium shop</t>
  </si>
  <si>
    <t xml:space="preserve">Garden enclosure IP65 150x110x70</t>
  </si>
  <si>
    <t xml:space="preserve">Weatherproof box for the ESP32, ADC, MOSFET board and buck converter.</t>
  </si>
  <si>
    <t xml:space="preserve">IP65 ABS, about 150x110x70 mm.</t>
  </si>
  <si>
    <t xml:space="preserve">Next to the plant reservoir, off the ground and shaded.</t>
  </si>
  <si>
    <t xml:space="preserve">1) Mount the perfboard on standoffs. 2) Drill gland holes in the bottom. 3) Add a desiccant pack.</t>
  </si>
  <si>
    <t xml:space="preserve">Cart has two (the second can serve the optional rooftop node).</t>
  </si>
  <si>
    <t xml:space="preserve">PG7 glands (garden)</t>
  </si>
  <si>
    <t xml:space="preserve">Seal the cable entries on the garden enclosure.</t>
  </si>
  <si>
    <t xml:space="preserve">PG7 nylon, 3-6.5mm cable.</t>
  </si>
  <si>
    <t xml:space="preserve">Garden enclosure bottom face.</t>
  </si>
  <si>
    <t xml:space="preserve">1) Drill 12.5mm holes. 2) Fit the glands. 3) Tighten around each cable.</t>
  </si>
  <si>
    <t xml:space="preserve">Pump outlet reducers / adapters</t>
  </si>
  <si>
    <t xml:space="preserve">Mini pump outlets are often 7-8mm, so they need an adapter to the 4mm line.</t>
  </si>
  <si>
    <t xml:space="preserve">Match your pump's outlet OD, barbed to 4mm.</t>
  </si>
  <si>
    <t xml:space="preserve">Pump outlet.</t>
  </si>
  <si>
    <t xml:space="preserve">1) Measure the outlet nozzle. 2) Fit the reducer or a short silicone sleeve. 3) Secure with a tie.</t>
  </si>
  <si>
    <t xml:space="preserve">Check the pump nozzle size before buying.</t>
  </si>
  <si>
    <t xml:space="preserve">5. Optional extras</t>
  </si>
  <si>
    <t xml:space="preserve">Rooftop redundancy node (ESP32-C3, enclosure, 5V adapter, SS316 float)</t>
  </si>
  <si>
    <t xml:space="preserve">A second, independent overflow alert over radio, as a backup to the wired interlock.</t>
  </si>
  <si>
    <t xml:space="preserve">ESP32-C3, 150x110x70 box, 5V 1A adapter, SS316 float switch.</t>
  </si>
  <si>
    <t xml:space="preserve">On the roof near the tank, with a weatherproof socket.</t>
  </si>
  <si>
    <t xml:space="preserve">1) Wire the float to a GPIO with a pull-up. 2) Send full and heartbeat messages by ESP-NOW. 3) Gateway raises an alert and trips the motor if the link is lost.</t>
  </si>
  <si>
    <t xml:space="preserve">Backup only, it does not replace the wired interlock. Link lost means motor off.</t>
  </si>
  <si>
    <t xml:space="preserve">Robu.in, Robocraze, IndiaMART</t>
  </si>
  <si>
    <t xml:space="preserve">BME280 module (temperature, humidity, pressure)</t>
  </si>
  <si>
    <t xml:space="preserve">Reads temperature, humidity and pressure, so watering can pause when it rains.</t>
  </si>
  <si>
    <t xml:space="preserve">BME280 I2C, 3.3V, address 0x76 or 0x77. Confirm it is not a BMP280 (no humidity).</t>
  </si>
  <si>
    <t xml:space="preserve">Garden enclosure exterior (shaded).</t>
  </si>
  <si>
    <t xml:space="preserve">1) Connect to the ESP32 I2C bus. 2) Mount outside the box in a shaded vent.</t>
  </si>
  <si>
    <t xml:space="preserve">Skip watering if humidity above a threshold you choose.</t>
  </si>
  <si>
    <t xml:space="preserve">In cart - verify BME vs BMP</t>
  </si>
  <si>
    <t xml:space="preserve">0.96 inch OLED SSD1306</t>
  </si>
  <si>
    <t xml:space="preserve">Shows tank level and status locally without opening the app.</t>
  </si>
  <si>
    <t xml:space="preserve">128x64, I2C, address 0x3C.</t>
  </si>
  <si>
    <t xml:space="preserve">Front of the head-end enclosure or a cut-out window.</t>
  </si>
  <si>
    <t xml:space="preserve">1) Share the I2C bus with the RTC. 2) Display tank state, IP and alerts.</t>
  </si>
  <si>
    <t xml:space="preserve">Active piezo buzzer 5V</t>
  </si>
  <si>
    <t xml:space="preserve">Loud backup alarm if the speaker is unplugged or fails.</t>
  </si>
  <si>
    <t xml:space="preserve">5V active buzzer module.</t>
  </si>
  <si>
    <t xml:space="preserve">Head-end enclosure.</t>
  </si>
  <si>
    <t xml:space="preserve">1) Drive from a GPIO through a transistor if the current is over 10mA. 2) Sound on critical alarms.</t>
  </si>
  <si>
    <t xml:space="preserve">Sunrom</t>
  </si>
  <si>
    <t xml:space="preserve">Extra ADS1115 (address 0x49)</t>
  </si>
  <si>
    <t xml:space="preserve">Adds 4 more analog channels, which takes you from 4 to 8 plant zones.</t>
  </si>
  <si>
    <t xml:space="preserve">Same as above, with ADDR pin to VDD for address 0x49.</t>
  </si>
  <si>
    <t xml:space="preserve">1) Tie ADDR to VDD. 2) Share the I2C bus. 3) Add 4 more soil sensors and pumps.</t>
  </si>
  <si>
    <t xml:space="preserve">Each plant needs one MOSFET channel as well.</t>
  </si>
  <si>
    <t xml:space="preserve">Cost totals and item counts</t>
  </si>
  <si>
    <t xml:space="preserve">All figures are formulas over the BOM sheet.</t>
  </si>
  <si>
    <t xml:space="preserve">Line items</t>
  </si>
  <si>
    <t xml:space="preserve">Cost low (INR)</t>
  </si>
  <si>
    <t xml:space="preserve">Cost high (INR)</t>
  </si>
  <si>
    <t xml:space="preserve">Core hybrid total (sections 1-4)</t>
  </si>
  <si>
    <t xml:space="preserve">Core plus optional extras</t>
  </si>
  <si>
    <t xml:space="preserve">Less: parts you already own (enter amounts)</t>
  </si>
  <si>
    <t xml:space="preserve">Core total after deductions</t>
  </si>
  <si>
    <t xml:space="preserve">Core + optional after deductions</t>
  </si>
  <si>
    <t xml:space="preserve">Deductions: enter what you already own (for example the contactor, about 850-1,200). The ROCK Pi S is already excluded (owned).</t>
  </si>
  <si>
    <t xml:space="preserve">In cart, needs a fix or check</t>
  </si>
  <si>
    <t xml:space="preserve">Total line items</t>
  </si>
  <si>
    <t xml:space="preserve">Check: total line items should equal Core + optional line items above.</t>
  </si>
  <si>
    <t xml:space="preserve">Wiring and pinout</t>
  </si>
  <si>
    <t xml:space="preserve">ROCK Pi S GPIO numbers are carried from the earlier prompt and are UNVERIFIED. Run gpioinfo before wiring. ESP32-C3 pins are suggestions.</t>
  </si>
  <si>
    <t xml:space="preserve">A. ROCK Pi S head-end I/O</t>
  </si>
  <si>
    <t xml:space="preserve">Signal</t>
  </si>
  <si>
    <t xml:space="preserve">Direction</t>
  </si>
  <si>
    <t xml:space="preserve">Connected to</t>
  </si>
  <si>
    <t xml:space="preserve">Header pin / line (unverified)</t>
  </si>
  <si>
    <t xml:space="preserve">Notes</t>
  </si>
  <si>
    <t xml:space="preserve">Tank Low float</t>
  </si>
  <si>
    <t xml:space="preserve">Input</t>
  </si>
  <si>
    <t xml:space="preserve">Float loop &gt; opto channel 1 &gt; GPIO (pull-up, active-low)</t>
  </si>
  <si>
    <t xml:space="preserve">Pin 11 / line 10 (earlier prompt)</t>
  </si>
  <si>
    <t xml:space="preserve">Debounce 100ms. Low = start motor if all interlocks are healthy.</t>
  </si>
  <si>
    <t xml:space="preserve">Interlock chain output</t>
  </si>
  <si>
    <t xml:space="preserve">Relay VCC node after Full + Sump floats &gt; opto channel 2</t>
  </si>
  <si>
    <t xml:space="preserve">Pin 13 / line 11 (earlier prompt)</t>
  </si>
  <si>
    <t xml:space="preserve">High means the chain is closed and the motor is allowed. Low means Full or Sump tripped.</t>
  </si>
  <si>
    <t xml:space="preserve">Interlock mid-point</t>
  </si>
  <si>
    <t xml:space="preserve">Node between Full and Sump floats &gt; opto channel 3</t>
  </si>
  <si>
    <t xml:space="preserve">Pin 15 / line 12 (earlier prompt)</t>
  </si>
  <si>
    <t xml:space="preserve">Lets the software tell Full from Sump. Mid-point high and output low means the Sump tripped.</t>
  </si>
  <si>
    <t xml:space="preserve">Leak sensor</t>
  </si>
  <si>
    <t xml:space="preserve">Leak sensor DO &gt; opto channel 4</t>
  </si>
  <si>
    <t xml:space="preserve">Free input pin, to choose</t>
  </si>
  <si>
    <t xml:space="preserve">Alarm: stop all pumps and speak an alert.</t>
  </si>
  <si>
    <t xml:space="preserve">Contactor pilot relay</t>
  </si>
  <si>
    <t xml:space="preserve">Output</t>
  </si>
  <si>
    <t xml:space="preserve">Relay module IN (in the mains enclosure)</t>
  </si>
  <si>
    <t xml:space="preserve">Pin 16 / line 13 (earlier prompt)</t>
  </si>
  <si>
    <t xml:space="preserve">10k pull-down to GND. Must be OFF at boot and at watchdog reset. Verify module polarity.</t>
  </si>
  <si>
    <t xml:space="preserve">I2C SDA / SCL</t>
  </si>
  <si>
    <t xml:space="preserve">Bus</t>
  </si>
  <si>
    <t xml:space="preserve">DS3231 RTC (0x68), OLED (0x3C, optional)</t>
  </si>
  <si>
    <t xml:space="preserve">Pins 3 and 5, I2C7 (earlier prompt)</t>
  </si>
  <si>
    <t xml:space="preserve">Enable the overlay; confirm the bus number with i2cdetect -l.</t>
  </si>
  <si>
    <t xml:space="preserve">USB host</t>
  </si>
  <si>
    <t xml:space="preserve">Powered hub &gt; CM108 audio, ESP32-C3 gateway (/dev/ttyACM0)</t>
  </si>
  <si>
    <t xml:space="preserve">USB-A port</t>
  </si>
  <si>
    <t xml:space="preserve">Speaker and dongle powered from the hub.</t>
  </si>
  <si>
    <t xml:space="preserve">Power in</t>
  </si>
  <si>
    <t xml:space="preserve">Power</t>
  </si>
  <si>
    <t xml:space="preserve">Buck 5.1V &gt; USB-C power pigtail</t>
  </si>
  <si>
    <t xml:space="preserve">USB-C</t>
  </si>
  <si>
    <t xml:space="preserve">Fuse 2A. Set 5.10V before connecting.</t>
  </si>
  <si>
    <t xml:space="preserve">B. Garden node ESP32-C3 Super Mini (suggested pins)</t>
  </si>
  <si>
    <t xml:space="preserve">ESP32-C3 GPIO (suggested)</t>
  </si>
  <si>
    <t xml:space="preserve">I2C SDA</t>
  </si>
  <si>
    <t xml:space="preserve">ADS1115 SDA</t>
  </si>
  <si>
    <t xml:space="preserve">GPIO6</t>
  </si>
  <si>
    <t xml:space="preserve">ADS1115 at 0x48, powered from the ESP32 3V3.</t>
  </si>
  <si>
    <t xml:space="preserve">I2C SCL</t>
  </si>
  <si>
    <t xml:space="preserve">ADS1115 SCL</t>
  </si>
  <si>
    <t xml:space="preserve">GPIO7</t>
  </si>
  <si>
    <t xml:space="preserve">Add 4.7k pull-ups if the module lacks them.</t>
  </si>
  <si>
    <t xml:space="preserve">Soil 1-4</t>
  </si>
  <si>
    <t xml:space="preserve">Analog</t>
  </si>
  <si>
    <t xml:space="preserve">ADS1115 A0, A1, A2, A3</t>
  </si>
  <si>
    <t xml:space="preserve">n/a</t>
  </si>
  <si>
    <t xml:space="preserve">Sensor VCC 3.3V. Output must stay under 3.3V.</t>
  </si>
  <si>
    <t xml:space="preserve">Pump 1-4 gates</t>
  </si>
  <si>
    <t xml:space="preserve">MOSFET IN1-IN4 with 10k pull-down each</t>
  </si>
  <si>
    <t xml:space="preserve">GPIO0, GPIO1, GPIO3, GPIO10</t>
  </si>
  <si>
    <t xml:space="preserve">Avoid GPIO2, GPIO8, GPIO9 (strapping pins).</t>
  </si>
  <si>
    <t xml:space="preserve">Reservoir float</t>
  </si>
  <si>
    <t xml:space="preserve">Float between GPIO and GND</t>
  </si>
  <si>
    <t xml:space="preserve">GPIO5 (INPUT_PULLUP)</t>
  </si>
  <si>
    <t xml:space="preserve">Wet = LOW. Dry = HIGH = pumps locked out.</t>
  </si>
  <si>
    <t xml:space="preserve">Flow meter pulse</t>
  </si>
  <si>
    <t xml:space="preserve">YF-S401 signal through a 10k / 20k divider</t>
  </si>
  <si>
    <t xml:space="preserve">GPIO4</t>
  </si>
  <si>
    <t xml:space="preserve">Divider brings 5V down to about 3.3V.</t>
  </si>
  <si>
    <t xml:space="preserve">12V 3A adapter &gt; fuse &gt; MOSFET V+ and buck; buck 5.0V &gt; ESP32 5V pin</t>
  </si>
  <si>
    <t xml:space="preserve">5V pin</t>
  </si>
  <si>
    <t xml:space="preserve">Common ground between buck, MOSFET board and ESP32.</t>
  </si>
  <si>
    <t xml:space="preserve">C. Hardware interlock chain (overflow and dry-run cut-off)</t>
  </si>
  <si>
    <t xml:space="preserve">Step</t>
  </si>
  <si>
    <t xml:space="preserve">From</t>
  </si>
  <si>
    <t xml:space="preserve">To</t>
  </si>
  <si>
    <t xml:space="preserve">Detail</t>
  </si>
  <si>
    <t xml:space="preserve">Why</t>
  </si>
  <si>
    <t xml:space="preserve">Fused 5V (buck)</t>
  </si>
  <si>
    <t xml:space="preserve">Full float (NC)</t>
  </si>
  <si>
    <t xml:space="preserve">Closed while water is below full. Opens at full or if the wire is cut.</t>
  </si>
  <si>
    <t xml:space="preserve">Hardware overflow cut-off that works even if the Pi has crashed.</t>
  </si>
  <si>
    <t xml:space="preserve">Full float</t>
  </si>
  <si>
    <t xml:space="preserve">Sump float (NO)</t>
  </si>
  <si>
    <t xml:space="preserve">Closed when water is present in the sump. Opens when dry.</t>
  </si>
  <si>
    <t xml:space="preserve">Hardware dry-run cut-off for the main motor.</t>
  </si>
  <si>
    <t xml:space="preserve">3</t>
  </si>
  <si>
    <t xml:space="preserve">Sump float</t>
  </si>
  <si>
    <t xml:space="preserve">Relay module VCC (or JD-VCC if the module has the jumper)</t>
  </si>
  <si>
    <t xml:space="preserve">Break the relay coil supply, not the 220V side.</t>
  </si>
  <si>
    <t xml:space="preserve">Float contacts only carry milliamps at 5V.</t>
  </si>
  <si>
    <t xml:space="preserve">Node after Full float</t>
  </si>
  <si>
    <t xml:space="preserve">Opto channel 3</t>
  </si>
  <si>
    <t xml:space="preserve">Senses the mid-point.</t>
  </si>
  <si>
    <t xml:space="preserve">Tells the software which float tripped.</t>
  </si>
  <si>
    <t xml:space="preserve">5</t>
  </si>
  <si>
    <t xml:space="preserve">Node after Sump float</t>
  </si>
  <si>
    <t xml:space="preserve">Opto channel 2</t>
  </si>
  <si>
    <t xml:space="preserve">Senses the chain output.</t>
  </si>
  <si>
    <t xml:space="preserve">Tells the software the motor is allowed.</t>
  </si>
  <si>
    <t xml:space="preserve">Electrician review</t>
  </si>
  <si>
    <t xml:space="preserve">Confirm the module's VCC powers the coil, and the selector's Manual path.</t>
  </si>
  <si>
    <t xml:space="preserve">Safety sign-off before first run.</t>
  </si>
  <si>
    <t xml:space="preserve">D. Power tree</t>
  </si>
  <si>
    <t xml:space="preserve">Branch</t>
  </si>
  <si>
    <t xml:space="preserve">Path</t>
  </si>
  <si>
    <t xml:space="preserve">Protection</t>
  </si>
  <si>
    <t xml:space="preserve">Load</t>
  </si>
  <si>
    <t xml:space="preserve">Motor circuit</t>
  </si>
  <si>
    <t xml:space="preserve">Mains &gt; MCB 16A &gt; RCCB 30mA &gt; contactor &gt; overload relay &gt; motor</t>
  </si>
  <si>
    <t xml:space="preserve">MCB, RCCB, SPD, overload</t>
  </si>
  <si>
    <t xml:space="preserve">Motor (about 0.5-1.5 HP)</t>
  </si>
  <si>
    <t xml:space="preserve">Electrician installs. No WAGO connectors.</t>
  </si>
  <si>
    <t xml:space="preserve">Logic</t>
  </si>
  <si>
    <t xml:space="preserve">Mains &gt; UPS 12V &gt; 2A fuse &gt; buck 5.1V &gt; ROCK Pi S, hub, relay</t>
  </si>
  <si>
    <t xml:space="preserve">2A fuses</t>
  </si>
  <si>
    <t xml:space="preserve">About 0.5A at 12V</t>
  </si>
  <si>
    <t xml:space="preserve">UPS keeps this alive in load shedding.</t>
  </si>
  <si>
    <t xml:space="preserve">Garden pumps</t>
  </si>
  <si>
    <t xml:space="preserve">Mains socket &gt; 12V 3A adapter &gt; 3A fuse &gt; MOSFET board &gt; pumps</t>
  </si>
  <si>
    <t xml:space="preserve">3A fuse, flyback diodes</t>
  </si>
  <si>
    <t xml:space="preserve">About 1A for 4 pumps</t>
  </si>
  <si>
    <t xml:space="preserve">Run at most two pumps at once.</t>
  </si>
  <si>
    <t xml:space="preserve">Garden logic</t>
  </si>
  <si>
    <t xml:space="preserve">12V rail &gt; buck 5.0V &gt; ESP32 5V pin &gt; 3V3 &gt; ADS1115, sensors</t>
  </si>
  <si>
    <t xml:space="preserve">Shared 3A fuse</t>
  </si>
  <si>
    <t xml:space="preserve">Under 0.3A</t>
  </si>
  <si>
    <t xml:space="preserve">Common ground with the MOSFET board.</t>
  </si>
  <si>
    <t xml:space="preserve">Build procedure</t>
  </si>
  <si>
    <t xml:space="preserve">Work top to bottom. Tick Done when finished.</t>
  </si>
  <si>
    <t xml:space="preserve">Phase</t>
  </si>
  <si>
    <t xml:space="preserve">Where</t>
  </si>
  <si>
    <t xml:space="preserve">What to do</t>
  </si>
  <si>
    <t xml:space="preserve">How (detail)</t>
  </si>
  <si>
    <t xml:space="preserve">Config / values</t>
  </si>
  <si>
    <t xml:space="preserve">Safety / notes</t>
  </si>
  <si>
    <t xml:space="preserve">Done</t>
  </si>
  <si>
    <t xml:space="preserve">0. Prepare</t>
  </si>
  <si>
    <t xml:space="preserve">Desk</t>
  </si>
  <si>
    <t xml:space="preserve">Fix the cart</t>
  </si>
  <si>
    <t xml:space="preserve">Resolve every item on the Cart Cross-check sheet before paying.</t>
  </si>
  <si>
    <t xml:space="preserve">Replace the 10 ohm resistors, heat shrink, fuses and leak sensor. Add the missing items.</t>
  </si>
  <si>
    <t xml:space="preserve">No</t>
  </si>
  <si>
    <t xml:space="preserve">Motor / starter</t>
  </si>
  <si>
    <t xml:space="preserve">Record motor details</t>
  </si>
  <si>
    <t xml:space="preserve">Read the nameplate: HP, rated current (A), voltage. Photograph the existing starter wiring.</t>
  </si>
  <si>
    <t xml:space="preserve">Use the current to choose the overload range and to confirm the MCB and contactor ratings.</t>
  </si>
  <si>
    <t xml:space="preserve">Mains is OFF at the MCB while you look.</t>
  </si>
  <si>
    <t xml:space="preserve">1. Bench (low voltage)</t>
  </si>
  <si>
    <t xml:space="preserve">Flash the OS</t>
  </si>
  <si>
    <t xml:space="preserve">Flash Armbian or Debian minimal to the SanDisk card and boot the ROCK Pi S.</t>
  </si>
  <si>
    <t xml:space="preserve">balenaEtcher. First boot: set hostname, user, timezone. sudo apt update &amp;&amp; sudo apt full-upgrade.</t>
  </si>
  <si>
    <t xml:space="preserve">No mains devices connected.</t>
  </si>
  <si>
    <t xml:space="preserve">Install packages</t>
  </si>
  <si>
    <t xml:space="preserve">Install the tools the daemon needs.</t>
  </si>
  <si>
    <t xml:space="preserve">sudo apt install gpiod i2c-tools espeak-ng alsa-utils python3-venv sqlite3 chrony</t>
  </si>
  <si>
    <t xml:space="preserve">Enable I2C</t>
  </si>
  <si>
    <t xml:space="preserve">Enable the I2C overlay for the header pins.</t>
  </si>
  <si>
    <t xml:space="preserve">Use armbian-config &gt; Hardware, enable the I2C overlay, reboot. Check with i2cdetect -l.</t>
  </si>
  <si>
    <t xml:space="preserve">Note the bus number.</t>
  </si>
  <si>
    <t xml:space="preserve">Set up the RTC</t>
  </si>
  <si>
    <t xml:space="preserve">Wire the DS3231 and bind it.</t>
  </si>
  <si>
    <t xml:space="preserve">i2cdetect -y &lt;bus&gt; shows 68. echo ds3231 0x68 | sudo tee /sys/class/i2c-adapter/i2c-&lt;n&gt;/new_device, then hwclock -r and hwclock --systohc after NTP sync.</t>
  </si>
  <si>
    <t xml:space="preserve">LIR2032 or remove the charging resistor.</t>
  </si>
  <si>
    <t xml:space="preserve">Test audio</t>
  </si>
  <si>
    <t xml:space="preserve">Plug in the hub, CM108 and speaker.</t>
  </si>
  <si>
    <t xml:space="preserve">aplay -l, then speaker-test -t wav -c 1, then espeak-ng -s 145 'Tank full' --stdout | aplay -q</t>
  </si>
  <si>
    <t xml:space="preserve">Set the default card in /etc/asound.conf.</t>
  </si>
  <si>
    <t xml:space="preserve">Verify the GPIO map</t>
  </si>
  <si>
    <t xml:space="preserve">List the GPIO lines and match them to the header.</t>
  </si>
  <si>
    <t xml:space="preserve">gpioinfo, then compare with the Radxa pinout. Update the Wiring &amp; Pinout sheet with the real chip and line numbers.</t>
  </si>
  <si>
    <t xml:space="preserve">Do this before wiring the relay.</t>
  </si>
  <si>
    <t xml:space="preserve">Join Headscale</t>
  </si>
  <si>
    <t xml:space="preserve">Install the client and join your tailnet.</t>
  </si>
  <si>
    <t xml:space="preserve">curl -fsSL https://tailscale.com/install.sh | sh, then sudo tailscale up --login-server https://&lt;your-headscale-url&gt; --authkey &lt;preauth-key&gt;</t>
  </si>
  <si>
    <t xml:space="preserve">Set ACLs so only your devices reach port 8080. Enable key expiry.</t>
  </si>
  <si>
    <t xml:space="preserve">Enable the watchdog</t>
  </si>
  <si>
    <t xml:space="preserve">Turn on the hardware watchdog with a 15 second timeout.</t>
  </si>
  <si>
    <t xml:space="preserve">In /etc/systemd/system.conf set RuntimeWatchdogSec=15s. In the service file set WatchdogSec=15 and Restart=always.</t>
  </si>
  <si>
    <t xml:space="preserve">Confirm /dev/watchdog exists.</t>
  </si>
  <si>
    <t xml:space="preserve">2. ESP32 firmware</t>
  </si>
  <si>
    <t xml:space="preserve">Flash the gateway</t>
  </si>
  <si>
    <t xml:space="preserve">Flash the ESP-NOW gateway sketch to ESP32 number 1.</t>
  </si>
  <si>
    <t xml:space="preserve">Arduino IDE or PlatformIO, board ESP32C3 Dev Module, USB CDC On Boot enabled. Gateway prints JSON lines to USB serial at 115200.</t>
  </si>
  <si>
    <t xml:space="preserve">Fix channel 1. Note its MAC.</t>
  </si>
  <si>
    <t xml:space="preserve">Flash the garden node</t>
  </si>
  <si>
    <t xml:space="preserve">Flash the node sketch to ESP32 number 2.</t>
  </si>
  <si>
    <t xml:space="preserve">Add the gateway MAC. Heartbeat every 5s. Set pump gates LOW in setup() before anything else.</t>
  </si>
  <si>
    <t xml:space="preserve">Pumps OFF if no ack for 60s. Max pump run 60s.</t>
  </si>
  <si>
    <t xml:space="preserve">Bench-test the node</t>
  </si>
  <si>
    <t xml:space="preserve">With 12V off, test readings and gates using LEDs.</t>
  </si>
  <si>
    <t xml:space="preserve">Read ADS1115 A0-A3, toggle each gate with an LED in place of a pump, pulse the flow input with a signal.</t>
  </si>
  <si>
    <t xml:space="preserve">Confirm gates stay LOW at reset.</t>
  </si>
  <si>
    <t xml:space="preserve">3. Power</t>
  </si>
  <si>
    <t xml:space="preserve">Head-end</t>
  </si>
  <si>
    <t xml:space="preserve">Set the bucks</t>
  </si>
  <si>
    <t xml:space="preserve">Set the buck outputs before connecting any load.</t>
  </si>
  <si>
    <t xml:space="preserve">Multimeter on the buck output. Head-end 5.10V, garden 5.0V. Seal the trimmers.</t>
  </si>
  <si>
    <t xml:space="preserve">Fuse every positive lead.</t>
  </si>
  <si>
    <t xml:space="preserve">Test the UPS</t>
  </si>
  <si>
    <t xml:space="preserve">Pull the mains and check the Pi stays up.</t>
  </si>
  <si>
    <t xml:space="preserve">Wait 10 minutes under load. Reconnect mains.</t>
  </si>
  <si>
    <t xml:space="preserve">Keep the pumps off the UPS.</t>
  </si>
  <si>
    <t xml:space="preserve">4. Mains (electrician)</t>
  </si>
  <si>
    <t xml:space="preserve">Mains enclosure</t>
  </si>
  <si>
    <t xml:space="preserve">Mount and wire the protection</t>
  </si>
  <si>
    <t xml:space="preserve">Mount DIN rail, MCB, RCCB, SPD, contactor, overload relay and terminals.</t>
  </si>
  <si>
    <t xml:space="preserve">Layout top to bottom: MCB, RCCB, SPD, contactor, overload. Ferrule every wire. Earth the enclosure.</t>
  </si>
  <si>
    <t xml:space="preserve">Electrician does this. Isolate at the main before work.</t>
  </si>
  <si>
    <t xml:space="preserve">Wire the control side</t>
  </si>
  <si>
    <t xml:space="preserve">Wire the relay contact in series with contactor coil A1, plus the snubber and selector.</t>
  </si>
  <si>
    <t xml:space="preserve">Relay VCC fed through the float interlock chain. Fit the RC snubber across A1-A2. Selector: Auto, Off, Manual.</t>
  </si>
  <si>
    <t xml:space="preserve">Keep the 5V control wires away from 220V.</t>
  </si>
  <si>
    <t xml:space="preserve">Verify relay polarity</t>
  </si>
  <si>
    <t xml:space="preserve">With the motor disconnected, check the relay does not energise at boot or at reset.</t>
  </si>
  <si>
    <t xml:space="preserve">Measure continuity across the relay contacts while the Pi boots and while the line is held at 3.3V.</t>
  </si>
  <si>
    <t xml:space="preserve">If active-LOW, invert in software and add a pull-up.</t>
  </si>
  <si>
    <t xml:space="preserve">5. Tank and sump</t>
  </si>
  <si>
    <t xml:space="preserve">Overhead tank</t>
  </si>
  <si>
    <t xml:space="preserve">Mount the floats</t>
  </si>
  <si>
    <t xml:space="preserve">Fit the Full float near overflow and the Low float at about 25-30 percent.</t>
  </si>
  <si>
    <t xml:space="preserve">Through-wall nut or bracket. Seal the cable exits. Leave a drip loop.</t>
  </si>
  <si>
    <t xml:space="preserve">Keep above the minimum water line.</t>
  </si>
  <si>
    <t xml:space="preserve">Sump</t>
  </si>
  <si>
    <t xml:space="preserve">Mount the sump float</t>
  </si>
  <si>
    <t xml:space="preserve">Fit the NO float above the pump intake.</t>
  </si>
  <si>
    <t xml:space="preserve">At least 15 cm above the intake.</t>
  </si>
  <si>
    <t xml:space="preserve">Open on dry stops the motor.</t>
  </si>
  <si>
    <t xml:space="preserve">Cable run</t>
  </si>
  <si>
    <t xml:space="preserve">Run the shielded cables</t>
  </si>
  <si>
    <t xml:space="preserve">Pull the 4-core and 2-core cables to the head-end.</t>
  </si>
  <si>
    <t xml:space="preserve">In conduit, 10 cm or more from mains. Ground the shield at the controller end.</t>
  </si>
  <si>
    <t xml:space="preserve">Do not splice in the run.</t>
  </si>
  <si>
    <t xml:space="preserve">Wire the interlock chain and opto inputs</t>
  </si>
  <si>
    <t xml:space="preserve">Build the chain and connect the three sense points and the Low float.</t>
  </si>
  <si>
    <t xml:space="preserve">5V &gt; Full NC &gt; Sump NO &gt; relay VCC. Mid-point to opto 3, output to opto 2, Low float to opto 1. TVS across each wire pair.</t>
  </si>
  <si>
    <t xml:space="preserve">Electrician reviews the chain.</t>
  </si>
  <si>
    <t xml:space="preserve">6. Garden</t>
  </si>
  <si>
    <t xml:space="preserve">Garden</t>
  </si>
  <si>
    <t xml:space="preserve">Mount the enclosure and reservoir</t>
  </si>
  <si>
    <t xml:space="preserve">Place the box beside the reservoir, off the ground.</t>
  </si>
  <si>
    <t xml:space="preserve">Fit glands at the bottom. Add a desiccant pack.</t>
  </si>
  <si>
    <t xml:space="preserve">Mains socket must be weatherproof.</t>
  </si>
  <si>
    <t xml:space="preserve">Plumb the hydraulics</t>
  </si>
  <si>
    <t xml:space="preserve">Fit pumps, strainers, check valves, anti-siphon tees, tubing and stakes.</t>
  </si>
  <si>
    <t xml:space="preserve">Pump &gt; reducer &gt; check valve &gt; tee with an upward vent loop &gt; tube &gt; stake. Test for backflow.</t>
  </si>
  <si>
    <t xml:space="preserve">Never run a pump dry.</t>
  </si>
  <si>
    <t xml:space="preserve">Install the soil sensors</t>
  </si>
  <si>
    <t xml:space="preserve">Insert one in each pot and connect to A0-A3.</t>
  </si>
  <si>
    <t xml:space="preserve">Seal the sensor tops. Run the sensor wires in a small conduit.</t>
  </si>
  <si>
    <t xml:space="preserve">Keep the stake away from the sensor.</t>
  </si>
  <si>
    <t xml:space="preserve">Calibrate the soil sensors</t>
  </si>
  <si>
    <t xml:space="preserve">Record the dry and wet voltages for each probe.</t>
  </si>
  <si>
    <t xml:space="preserve">Read in open air for dry_V and in a cup of water for wet_V. Enter them in the config.</t>
  </si>
  <si>
    <t xml:space="preserve">Band per plant = [wet_V - 0.2, dry_V + 0.2].</t>
  </si>
  <si>
    <t xml:space="preserve">7. Software</t>
  </si>
  <si>
    <t xml:space="preserve">Deploy the daemon and API</t>
  </si>
  <si>
    <t xml:space="preserve">Install the Antigravity-built daemon and API as services.</t>
  </si>
  <si>
    <t xml:space="preserve">systemd services with After=network-online.target tailscaled.service. Start with MOCK_HARDWARE=true, then false once the tests pass.</t>
  </si>
  <si>
    <t xml:space="preserve">API token required. Bind to the tailnet IP.</t>
  </si>
  <si>
    <t xml:space="preserve">Set up alerts</t>
  </si>
  <si>
    <t xml:space="preserve">Add Telegram alerts for critical events.</t>
  </si>
  <si>
    <t xml:space="preserve">Create a bot with BotFather, store the token in an env file, send on overflow, dry-run, link lost, leak.</t>
  </si>
  <si>
    <t xml:space="preserve">Voice alerts only help when someone is home.</t>
  </si>
  <si>
    <t xml:space="preserve">8. Commissioning</t>
  </si>
  <si>
    <t xml:space="preserve">All</t>
  </si>
  <si>
    <t xml:space="preserve">Run every test</t>
  </si>
  <si>
    <t xml:space="preserve">Complete the Commissioning Tests sheet, in order.</t>
  </si>
  <si>
    <t xml:space="preserve">Use the real motor only after the bench and dry tests pass.</t>
  </si>
  <si>
    <t xml:space="preserve">Electrician present for the first live motor run.</t>
  </si>
  <si>
    <t xml:space="preserve">9. Maintenance</t>
  </si>
  <si>
    <t xml:space="preserve">Routine checks</t>
  </si>
  <si>
    <t xml:space="preserve">Monthly: press the RCCB test button, wipe the sensors, rinse the strainers, test the floats.</t>
  </si>
  <si>
    <t xml:space="preserve">Quarterly: check the UPS runtime, the fuses, and gland seals.</t>
  </si>
  <si>
    <t xml:space="preserve">Back up the SQLite file and config.</t>
  </si>
  <si>
    <t xml:space="preserve">Configuration reference</t>
  </si>
  <si>
    <t xml:space="preserve">Suggested defaults. Edit the blue values to match your calibration. All need testing on your hardware.</t>
  </si>
  <si>
    <t xml:space="preserve">Area</t>
  </si>
  <si>
    <t xml:space="preserve">Parameter</t>
  </si>
  <si>
    <t xml:space="preserve">Value</t>
  </si>
  <si>
    <t xml:space="preserve">Where set</t>
  </si>
  <si>
    <t xml:space="preserve">Status</t>
  </si>
  <si>
    <t xml:space="preserve">Head-end buck output</t>
  </si>
  <si>
    <t xml:space="preserve">5.10 V</t>
  </si>
  <si>
    <t xml:space="preserve">Trimmer on the LM2596</t>
  </si>
  <si>
    <t xml:space="preserve">Set with a multimeter before connecting the Pi.</t>
  </si>
  <si>
    <t xml:space="preserve">Fixed</t>
  </si>
  <si>
    <t xml:space="preserve">Garden buck output</t>
  </si>
  <si>
    <t xml:space="preserve">5.0 V</t>
  </si>
  <si>
    <t xml:space="preserve">Trimmer on the MP1584</t>
  </si>
  <si>
    <t xml:space="preserve">Feeds the ESP32 5V pin.</t>
  </si>
  <si>
    <t xml:space="preserve">Fuse sizes</t>
  </si>
  <si>
    <t xml:space="preserve">UPS 2A, head-end 5V 2A, garden 12V 3A</t>
  </si>
  <si>
    <t xml:space="preserve">Inline holders</t>
  </si>
  <si>
    <t xml:space="preserve">Fast-blow 5x20mm.</t>
  </si>
  <si>
    <t xml:space="preserve">I2C</t>
  </si>
  <si>
    <t xml:space="preserve">RTC address</t>
  </si>
  <si>
    <t xml:space="preserve">0x68</t>
  </si>
  <si>
    <t xml:space="preserve">DS3231</t>
  </si>
  <si>
    <t xml:space="preserve">Shared bus with the OLED (0x3C).</t>
  </si>
  <si>
    <t xml:space="preserve">ADC address</t>
  </si>
  <si>
    <t xml:space="preserve">0x48 (0x49 for the second)</t>
  </si>
  <si>
    <t xml:space="preserve">ADDR pin</t>
  </si>
  <si>
    <t xml:space="preserve">ADDR to GND gives 0x48, to VDD gives 0x49.</t>
  </si>
  <si>
    <t xml:space="preserve">ADC</t>
  </si>
  <si>
    <t xml:space="preserve">ADS1115 gain</t>
  </si>
  <si>
    <t xml:space="preserve">1 (+/-4.096 V)</t>
  </si>
  <si>
    <t xml:space="preserve">Firmware</t>
  </si>
  <si>
    <t xml:space="preserve">Covers the sensor's 3V max.</t>
  </si>
  <si>
    <t xml:space="preserve">Suggested</t>
  </si>
  <si>
    <t xml:space="preserve">ADS1115 data rate</t>
  </si>
  <si>
    <t xml:space="preserve">128 SPS</t>
  </si>
  <si>
    <t xml:space="preserve">Average 10 samples per reading.</t>
  </si>
  <si>
    <t xml:space="preserve">Soil</t>
  </si>
  <si>
    <t xml:space="preserve">Per-plant dry voltage (dry_V)</t>
  </si>
  <si>
    <t xml:space="preserve">To calibrate</t>
  </si>
  <si>
    <t xml:space="preserve">Config file</t>
  </si>
  <si>
    <t xml:space="preserve">Read in open air.</t>
  </si>
  <si>
    <t xml:space="preserve">Calibrate</t>
  </si>
  <si>
    <t xml:space="preserve">Per-plant wet voltage (wet_V)</t>
  </si>
  <si>
    <t xml:space="preserve">Read in water.</t>
  </si>
  <si>
    <t xml:space="preserve">Sanity band</t>
  </si>
  <si>
    <t xml:space="preserve">[wet_V - 0.2, dry_V + 0.2]</t>
  </si>
  <si>
    <t xml:space="preserve">Daemon</t>
  </si>
  <si>
    <t xml:space="preserve">Outside the band means a broken or disconnected probe, so skip watering and announce.</t>
  </si>
  <si>
    <t xml:space="preserve">Watering</t>
  </si>
  <si>
    <t xml:space="preserve">Default pump pulse</t>
  </si>
  <si>
    <t xml:space="preserve">15 s</t>
  </si>
  <si>
    <t xml:space="preserve">API / daemon</t>
  </si>
  <si>
    <t xml:space="preserve">Manual pulse default.</t>
  </si>
  <si>
    <t xml:space="preserve">Max pump run per pulse</t>
  </si>
  <si>
    <t xml:space="preserve">60 s</t>
  </si>
  <si>
    <t xml:space="preserve">Daemon and node</t>
  </si>
  <si>
    <t xml:space="preserve">Enforced on both sides.</t>
  </si>
  <si>
    <t xml:space="preserve">Re-watering cooldown per zone</t>
  </si>
  <si>
    <t xml:space="preserve">6 h</t>
  </si>
  <si>
    <t xml:space="preserve">Use a monotonic timer plus the RTC.</t>
  </si>
  <si>
    <t xml:space="preserve">Moisture threshold to water</t>
  </si>
  <si>
    <t xml:space="preserve">Start at about 40 percent of the dry-to-wet range.</t>
  </si>
  <si>
    <t xml:space="preserve">Motor</t>
  </si>
  <si>
    <t xml:space="preserve">Max motor run time</t>
  </si>
  <si>
    <t xml:space="preserve">15 min</t>
  </si>
  <si>
    <t xml:space="preserve">Hard cut-off regardless of floats.</t>
  </si>
  <si>
    <t xml:space="preserve">Lockout after a max-run trip</t>
  </si>
  <si>
    <t xml:space="preserve">30 min, then manual reset</t>
  </si>
  <si>
    <t xml:space="preserve">Prevents repeated dry-run cycling.</t>
  </si>
  <si>
    <t xml:space="preserve">Start rule</t>
  </si>
  <si>
    <t xml:space="preserve">Low float closed and chain closed</t>
  </si>
  <si>
    <t xml:space="preserve">Start only if Full not tripped and Sump has water.</t>
  </si>
  <si>
    <t xml:space="preserve">Overload relay dial</t>
  </si>
  <si>
    <t xml:space="preserve">Motor nameplate FLC</t>
  </si>
  <si>
    <t xml:space="preserve">Overload relay</t>
  </si>
  <si>
    <t xml:space="preserve">Do not set above the rated current.</t>
  </si>
  <si>
    <t xml:space="preserve">Inputs</t>
  </si>
  <si>
    <t xml:space="preserve">Float debounce</t>
  </si>
  <si>
    <t xml:space="preserve">100 ms</t>
  </si>
  <si>
    <t xml:space="preserve">Reject slosh and noise.</t>
  </si>
  <si>
    <t xml:space="preserve">GPIO bias</t>
  </si>
  <si>
    <t xml:space="preserve">Internal pull-up on inputs</t>
  </si>
  <si>
    <t xml:space="preserve">libgpiod</t>
  </si>
  <si>
    <t xml:space="preserve">Opto outputs read active-low.</t>
  </si>
  <si>
    <t xml:space="preserve">Wireless</t>
  </si>
  <si>
    <t xml:space="preserve">ESP-NOW channel</t>
  </si>
  <si>
    <t xml:space="preserve">Both ESP32s</t>
  </si>
  <si>
    <t xml:space="preserve">Fixed channel avoids router interference.</t>
  </si>
  <si>
    <t xml:space="preserve">Heartbeat interval</t>
  </si>
  <si>
    <t xml:space="preserve">5 s</t>
  </si>
  <si>
    <t xml:space="preserve">Node firmware</t>
  </si>
  <si>
    <t xml:space="preserve">Gateway raises an alert after 30 s of silence.</t>
  </si>
  <si>
    <t xml:space="preserve">Node fail-safe timeout</t>
  </si>
  <si>
    <t xml:space="preserve">60 s without ack, pumps OFF</t>
  </si>
  <si>
    <t xml:space="preserve">Link lost means pumps off.</t>
  </si>
  <si>
    <t xml:space="preserve">Gateway serial</t>
  </si>
  <si>
    <t xml:space="preserve">115200, /dev/ttyACM0</t>
  </si>
  <si>
    <t xml:space="preserve">JSON lines.</t>
  </si>
  <si>
    <t xml:space="preserve">System</t>
  </si>
  <si>
    <t xml:space="preserve">Hardware watchdog</t>
  </si>
  <si>
    <t xml:space="preserve">systemd</t>
  </si>
  <si>
    <t xml:space="preserve">RuntimeWatchdogSec and WatchdogSec.</t>
  </si>
  <si>
    <t xml:space="preserve">SQLite mode</t>
  </si>
  <si>
    <t xml:space="preserve">WAL</t>
  </si>
  <si>
    <t xml:space="preserve">Reduces corruption on power loss.</t>
  </si>
  <si>
    <t xml:space="preserve">Time source</t>
  </si>
  <si>
    <t xml:space="preserve">chrony plus DS3231</t>
  </si>
  <si>
    <t xml:space="preserve">OS</t>
  </si>
  <si>
    <t xml:space="preserve">Sync the RTC after NTP.</t>
  </si>
  <si>
    <t xml:space="preserve">Network</t>
  </si>
  <si>
    <t xml:space="preserve">API binding</t>
  </si>
  <si>
    <t xml:space="preserve">Tailnet IP only, port 8080</t>
  </si>
  <si>
    <t xml:space="preserve">FastAPI</t>
  </si>
  <si>
    <t xml:space="preserve">Add a token and cap manual runtime server-side.</t>
  </si>
  <si>
    <t xml:space="preserve">Headscale ACL</t>
  </si>
  <si>
    <t xml:space="preserve">Your devices to the controller :8080 only</t>
  </si>
  <si>
    <t xml:space="preserve">Headscale</t>
  </si>
  <si>
    <t xml:space="preserve">Enable key expiry.</t>
  </si>
  <si>
    <t xml:space="preserve">Alerts</t>
  </si>
  <si>
    <t xml:space="preserve">Voice engine</t>
  </si>
  <si>
    <t xml:space="preserve">espeak-ng -s 145, aplay -q</t>
  </si>
  <si>
    <t xml:space="preserve">Fall back to a buzzer.</t>
  </si>
  <si>
    <t xml:space="preserve">Mobile alerts</t>
  </si>
  <si>
    <t xml:space="preserve">Telegram bot</t>
  </si>
  <si>
    <t xml:space="preserve">Daemon env file</t>
  </si>
  <si>
    <t xml:space="preserve">Overflow, dry-run, link lost, leak.</t>
  </si>
  <si>
    <t xml:space="preserve">Commissioning tests</t>
  </si>
  <si>
    <t xml:space="preserve">Run in order. Use the real motor only after tests 1-9 pass. Electrician present for the first live run.</t>
  </si>
  <si>
    <t xml:space="preserve">Test</t>
  </si>
  <si>
    <t xml:space="preserve">Procedure</t>
  </si>
  <si>
    <t xml:space="preserve">Pass criteria</t>
  </si>
  <si>
    <t xml:space="preserve">Result</t>
  </si>
  <si>
    <t xml:space="preserve">Date / notes</t>
  </si>
  <si>
    <t xml:space="preserve">1. Relay at boot</t>
  </si>
  <si>
    <t xml:space="preserve">Disconnect the motor. Power cycle the Pi 5 times and watch the relay.</t>
  </si>
  <si>
    <t xml:space="preserve">Relay never clicks on at boot or reset.</t>
  </si>
  <si>
    <t xml:space="preserve">Not run</t>
  </si>
  <si>
    <t xml:space="preserve">2. Relay polarity</t>
  </si>
  <si>
    <t xml:space="preserve">Drive the relay from software and measure continuity.</t>
  </si>
  <si>
    <t xml:space="preserve">ON in software means closed. Matches the config.</t>
  </si>
  <si>
    <t xml:space="preserve">3. Interlock chain</t>
  </si>
  <si>
    <t xml:space="preserve">Open the Full float, then the Sump float, one at a time, while commanding ON.</t>
  </si>
  <si>
    <t xml:space="preserve">Relay drops out each time. The software reports which float tripped.</t>
  </si>
  <si>
    <t xml:space="preserve">4. Cut wire</t>
  </si>
  <si>
    <t xml:space="preserve">Disconnect the Full float wire.</t>
  </si>
  <si>
    <t xml:space="preserve">Chain opens. Motor cannot start.</t>
  </si>
  <si>
    <t xml:space="preserve">5. Pi crash</t>
  </si>
  <si>
    <t xml:space="preserve">Kill the daemon and hang the OS (echo c &gt; /proc/sysrq-trigger).</t>
  </si>
  <si>
    <t xml:space="preserve">Watchdog resets within about 15 s. Relay stays OFF during the reset.</t>
  </si>
  <si>
    <t xml:space="preserve">6. Power cut</t>
  </si>
  <si>
    <t xml:space="preserve">Pull mains with the controller running.</t>
  </si>
  <si>
    <t xml:space="preserve">Pi stays up on the UPS. Pumps are off. No relay glitch on return.</t>
  </si>
  <si>
    <t xml:space="preserve">7. Max run watchdog</t>
  </si>
  <si>
    <t xml:space="preserve">Simulate a stuck Low float and run the motor with no load.</t>
  </si>
  <si>
    <t xml:space="preserve">Motor stops at 15 min and the lockout engages.</t>
  </si>
  <si>
    <t xml:space="preserve">8. Sanity band</t>
  </si>
  <si>
    <t xml:space="preserve">Unplug a soil sensor.</t>
  </si>
  <si>
    <t xml:space="preserve">Probe flagged as broken, watering skipped, alert spoken.</t>
  </si>
  <si>
    <t xml:space="preserve">9. Link loss</t>
  </si>
  <si>
    <t xml:space="preserve">Switch off the garden node.</t>
  </si>
  <si>
    <t xml:space="preserve">Gateway alerts after 30 s. Node pumps OFF after 60 s.</t>
  </si>
  <si>
    <t xml:space="preserve">10. Live motor, short run</t>
  </si>
  <si>
    <t xml:space="preserve">With the electrician present, run the motor for 1 minute.</t>
  </si>
  <si>
    <t xml:space="preserve">Current under the overload setting. No vibration or noise.</t>
  </si>
  <si>
    <t xml:space="preserve">11. Tank fill cycle</t>
  </si>
  <si>
    <t xml:space="preserve">Let the tank fill from low to full.</t>
  </si>
  <si>
    <t xml:space="preserve">Motor stops at the Full float. Software stops at the same time.</t>
  </si>
  <si>
    <t xml:space="preserve">12. Dry sump</t>
  </si>
  <si>
    <t xml:space="preserve">Lower the sump float by hand.</t>
  </si>
  <si>
    <t xml:space="preserve">Motor stops at once and an alert sounds.</t>
  </si>
  <si>
    <t xml:space="preserve">13. RCCB</t>
  </si>
  <si>
    <t xml:space="preserve">Press the RCCB test button.</t>
  </si>
  <si>
    <t xml:space="preserve">RCCB trips.</t>
  </si>
  <si>
    <t xml:space="preserve">14. Pump test</t>
  </si>
  <si>
    <t xml:space="preserve">Pulse each pump for 15 s.</t>
  </si>
  <si>
    <t xml:space="preserve">Water flows to the right plant. No leaks.</t>
  </si>
  <si>
    <t xml:space="preserve">15. Siphon test</t>
  </si>
  <si>
    <t xml:space="preserve">Stop a pump with the reservoir above the plant.</t>
  </si>
  <si>
    <t xml:space="preserve">No backflow or draining.</t>
  </si>
  <si>
    <t xml:space="preserve">16. API security</t>
  </si>
  <si>
    <t xml:space="preserve">Call the API from a device outside the tailnet.</t>
  </si>
  <si>
    <t xml:space="preserve">Connection refused. Token required inside.</t>
  </si>
  <si>
    <t xml:space="preserve">17. Leak sensor</t>
  </si>
  <si>
    <t xml:space="preserve">Wet the probe.</t>
  </si>
  <si>
    <t xml:space="preserve">All pumps stop and an alert sounds.</t>
  </si>
  <si>
    <t xml:space="preserve">Amazon cart cross-check</t>
  </si>
  <si>
    <t xml:space="preserve">Based on the cart listing titles you shared. Items marked 'verify' need a look at the full product page.</t>
  </si>
  <si>
    <t xml:space="preserve">Cart item</t>
  </si>
  <si>
    <t xml:space="preserve">Issue</t>
  </si>
  <si>
    <t xml:space="preserve">Action</t>
  </si>
  <si>
    <t xml:space="preserve">Severity</t>
  </si>
  <si>
    <t xml:space="preserve">DEPOKE 10 Ohm resistors (50)</t>
  </si>
  <si>
    <t xml:space="preserve">Wrong value. The plan needs 10 kOhm pull-downs.</t>
  </si>
  <si>
    <t xml:space="preserve">Replace with 10 kOhm 1/4W.</t>
  </si>
  <si>
    <t xml:space="preserve">High</t>
  </si>
  <si>
    <t xml:space="preserve">ORGNER heat shrink 6-12 mm</t>
  </si>
  <si>
    <t xml:space="preserve">Too large for pump leads and small joints.</t>
  </si>
  <si>
    <t xml:space="preserve">Buy an assorted 2-6mm adhesive-lined kit.</t>
  </si>
  <si>
    <t xml:space="preserve">Medium</t>
  </si>
  <si>
    <t xml:space="preserve">ABSTXUOR USB 3.0 hub</t>
  </si>
  <si>
    <t xml:space="preserve">Slim hubs are usually bus-powered, with no DC input.</t>
  </si>
  <si>
    <t xml:space="preserve">Check for a DC jack. Replace if none.</t>
  </si>
  <si>
    <t xml:space="preserve">10A fuse combo</t>
  </si>
  <si>
    <t xml:space="preserve">10A does not protect 2A and 3A rails.</t>
  </si>
  <si>
    <t xml:space="preserve">Buy 1A, 2A, 3A, 5A assorted 5x20mm fuses.</t>
  </si>
  <si>
    <t xml:space="preserve">REL_35 water level sensor x3</t>
  </si>
  <si>
    <t xml:space="preserve">Analog, exposed traces, corrodes, cannot connect to the Pi.</t>
  </si>
  <si>
    <t xml:space="preserve">Buy one digital leak sensor (LM393).</t>
  </si>
  <si>
    <t xml:space="preserve">Pressure washer inlet filter x3</t>
  </si>
  <si>
    <t xml:space="preserve">Hose-thread fittings do not fit mini pumps.</t>
  </si>
  <si>
    <t xml:space="preserve">Use an aquarium sponge or nylon mesh sleeve.</t>
  </si>
  <si>
    <t xml:space="preserve">Low</t>
  </si>
  <si>
    <t xml:space="preserve">Tycab cable ties x8</t>
  </si>
  <si>
    <t xml:space="preserve">800 ties; the plan needs 100.</t>
  </si>
  <si>
    <t xml:space="preserve">Set quantity to 1.</t>
  </si>
  <si>
    <t xml:space="preserve">TED TABBIES aquarium tube 70 m</t>
  </si>
  <si>
    <t xml:space="preserve">4x6mm thin wall, kinks; the plan needs 4/7mm.</t>
  </si>
  <si>
    <t xml:space="preserve">Remove. The Grassland kit has 10 m.</t>
  </si>
  <si>
    <t xml:space="preserve">XYNO 30A contactor</t>
  </si>
  <si>
    <t xml:space="preserve">Unbranded and it switches the motor.</t>
  </si>
  <si>
    <t xml:space="preserve">Prefer L&amp;T, Schneider or Siemens.</t>
  </si>
  <si>
    <t xml:space="preserve">RCCB, amiciSmart SPD, KAYCEE MCB</t>
  </si>
  <si>
    <t xml:space="preserve">Protect people and the motor. SPD type not stated.</t>
  </si>
  <si>
    <t xml:space="preserve">Prefer Havells, Schneider, Legrand, L&amp;T, Siemens. Confirm Type 2. Keep the GST invoice.</t>
  </si>
  <si>
    <t xml:space="preserve">S J MJ1+ overload relay 6-10A</t>
  </si>
  <si>
    <t xml:space="preserve">Range suits about 1 HP or more.</t>
  </si>
  <si>
    <t xml:space="preserve">Read the motor nameplate. Match the contactor.</t>
  </si>
  <si>
    <t xml:space="preserve">SP Electron 4V-12V mini pumps</t>
  </si>
  <si>
    <t xml:space="preserve">May be rated 3-6V and overheat at 12V.</t>
  </si>
  <si>
    <t xml:space="preserve">Check the rated voltage. Add a reducer to 4mm.</t>
  </si>
  <si>
    <t xml:space="preserve">INVENTO BMP280 / BME280</t>
  </si>
  <si>
    <t xml:space="preserve">BMP280 has no humidity.</t>
  </si>
  <si>
    <t xml:space="preserve">Confirm it is a BME280.</t>
  </si>
  <si>
    <t xml:space="preserve">Electronic Spices relay module x2</t>
  </si>
  <si>
    <t xml:space="preserve">Often active-LOW with no opto.</t>
  </si>
  <si>
    <t xml:space="preserve">Bench-test polarity with the motor disconnected.</t>
  </si>
  <si>
    <t xml:space="preserve">5V pulse output can damage ESP32-C3 3.3V pins.</t>
  </si>
  <si>
    <t xml:space="preserve">Add a 10k / 20k divider.</t>
  </si>
  <si>
    <t xml:space="preserve">DS3231 module</t>
  </si>
  <si>
    <t xml:space="preserve">May charge a CR2032, which can swell it.</t>
  </si>
  <si>
    <t xml:space="preserve">Use an LIR2032 or remove the charge resistor.</t>
  </si>
  <si>
    <t xml:space="preserve">SPOWER 150x110x70 boxes x2</t>
  </si>
  <si>
    <t xml:space="preserve">Right for the garden, too small for the head-end.</t>
  </si>
  <si>
    <t xml:space="preserve">Buy a 200x150x100 for the head-end.</t>
  </si>
  <si>
    <t xml:space="preserve">PG07 glands x10</t>
  </si>
  <si>
    <t xml:space="preserve">PG7 fits 3-6.5mm only.</t>
  </si>
  <si>
    <t xml:space="preserve">Add PG9 and PG11 glands.</t>
  </si>
  <si>
    <t xml:space="preserve">Float switches (SensaSwitch NC, NO, POLO STAR)</t>
  </si>
  <si>
    <t xml:space="preserve">Roles are fine: Full = NC, Sump = NO, Low = reversible. A reservoir float is still missing.</t>
  </si>
  <si>
    <t xml:space="preserve">Buy one more PP vertical float.</t>
  </si>
  <si>
    <t xml:space="preserve">LR7843 x4 (single-channel)</t>
  </si>
  <si>
    <t xml:space="preserve">Fine. Four single modules replace one 4-channel board.</t>
  </si>
  <si>
    <t xml:space="preserve">No change.</t>
  </si>
  <si>
    <t xml:space="preserve">Info</t>
  </si>
  <si>
    <t xml:space="preserve">WAGO packs (221-412 x10, 221-413 x10, 221-415 x8)</t>
  </si>
  <si>
    <t xml:space="preserve">More than needed.</t>
  </si>
  <si>
    <t xml:space="preserve">Keep or reduce the 221-413 quantity.</t>
  </si>
  <si>
    <t xml:space="preserve">Buck modules (2 LM2596 + 5 MP1584)</t>
  </si>
  <si>
    <t xml:space="preserve">No change; spares are fine.</t>
  </si>
  <si>
    <t xml:space="preserve">Drip emitters 50 + Grassland kit</t>
  </si>
  <si>
    <t xml:space="preserve">More than the 4 needed.</t>
  </si>
  <si>
    <t xml:space="preserve">Missing items</t>
  </si>
  <si>
    <t xml:space="preserve">microSD, CM108, speaker, 4th float, shielded cables, check valves, reducers, snubber, 10k resistors, two enclosures, DIN rail, terminal blocks, 2.5mm2 wire, PG9/PG11 glands, perfboard.</t>
  </si>
  <si>
    <t xml:space="preserve">Add these before ordering.</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</si>
</sst>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b val="true"/>
      <sz val="10"/>
      <color rgb="FF0000FF"/>
      <name val="Arial"/>
      <family val="0"/>
      <charset val="1"/>
    </font>
    <font>
      <b val="true"/>
      <sz val="10"/>
      <color rgb="FFFFFFFF"/>
      <name val="Arial"/>
      <family val="0"/>
      <charset val="1"/>
    </font>
    <font>
      <sz val="10"/>
      <color rgb="FF0000FF"/>
      <name val="Arial"/>
      <family val="0"/>
      <charset val="1"/>
    </font>
    <font>
      <u val="single"/>
      <sz val="10"/>
      <color rgb="FF0563C1"/>
      <name val="Arial"/>
      <family val="0"/>
      <charset val="1"/>
    </font>
    <font>
      <b val="true"/>
      <sz val="12"/>
      <color rgb="FF1F3864"/>
      <name val="Arial"/>
      <family val="0"/>
      <charset val="1"/>
    </font>
  </fonts>
  <fills count="6">
    <fill>
      <patternFill patternType="none"/>
    </fill>
    <fill>
      <patternFill patternType="gray125"/>
    </fill>
    <fill>
      <patternFill patternType="solid">
        <fgColor rgb="FFD9E1F2"/>
        <bgColor rgb="FFE2EFDA"/>
      </patternFill>
    </fill>
    <fill>
      <patternFill patternType="solid">
        <fgColor rgb="FFFCE4D6"/>
        <bgColor rgb="FFE2EFDA"/>
      </patternFill>
    </fill>
    <fill>
      <patternFill patternType="solid">
        <fgColor rgb="FF1F3864"/>
        <bgColor rgb="FF333333"/>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right"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true" applyAlignment="true" applyProtection="false">
      <alignment horizontal="right"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563C1"/>
          <bgColor rgb="FF000000"/>
        </patternFill>
      </fill>
    </dxf>
    <dxf>
      <fill>
        <patternFill patternType="solid">
          <fgColor rgb="FFD9E1F2"/>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amazon.in/s?k=sandisk+max+endurance+32gb+microsd" TargetMode="External"/><Relationship Id="rId2" Type="http://schemas.openxmlformats.org/officeDocument/2006/relationships/hyperlink" Target="https://www.amazon.in/s?k=cm108+usb+audio+adapter" TargetMode="External"/><Relationship Id="rId3" Type="http://schemas.openxmlformats.org/officeDocument/2006/relationships/hyperlink" Target="https://www.amazon.in/s?k=usb+powered+mini+speaker+3.5mm" TargetMode="External"/><Relationship Id="rId4" Type="http://schemas.openxmlformats.org/officeDocument/2006/relationships/hyperlink" Target="https://www.amazon.in/s?k=powered+usb+2.0+hub+4+port+5v+adapter" TargetMode="External"/><Relationship Id="rId5" Type="http://schemas.openxmlformats.org/officeDocument/2006/relationships/hyperlink" Target="https://www.amazon.in/s?k=oakter+mini+ups+12v+router" TargetMode="External"/><Relationship Id="rId6" Type="http://schemas.openxmlformats.org/officeDocument/2006/relationships/hyperlink" Target="https://www.amazon.in/s?k=lm2596+dc+dc+buck+module" TargetMode="External"/><Relationship Id="rId7" Type="http://schemas.openxmlformats.org/officeDocument/2006/relationships/hyperlink" Target="https://www.amazon.in/s?k=ds3231+rtc+module" TargetMode="External"/><Relationship Id="rId8" Type="http://schemas.openxmlformats.org/officeDocument/2006/relationships/hyperlink" Target="https://www.amazon.in/s?k=inline+fuse+holder+5x20mm+fuse+kit" TargetMode="External"/><Relationship Id="rId9" Type="http://schemas.openxmlformats.org/officeDocument/2006/relationships/hyperlink" Target="https://www.amazon.in/s?k=4+channel+optocoupler+isolation+module" TargetMode="External"/><Relationship Id="rId10" Type="http://schemas.openxmlformats.org/officeDocument/2006/relationships/hyperlink" Target="https://www.amazon.in/s?k=p6ke15a+tvs+diode" TargetMode="External"/><Relationship Id="rId11" Type="http://schemas.openxmlformats.org/officeDocument/2006/relationships/hyperlink" Target="https://www.amazon.in/s?k=water+leak+sensor+module" TargetMode="External"/><Relationship Id="rId12" Type="http://schemas.openxmlformats.org/officeDocument/2006/relationships/hyperlink" Target="https://www.amazon.in/s?k=ip65+abs+junction+box+200x150x100" TargetMode="External"/><Relationship Id="rId13" Type="http://schemas.openxmlformats.org/officeDocument/2006/relationships/hyperlink" Target="https://www.amazon.in/s?k=pg7+pg9+nylon+cable+gland+waterproof" TargetMode="External"/><Relationship Id="rId14" Type="http://schemas.openxmlformats.org/officeDocument/2006/relationships/hyperlink" Target="https://www.amazon.in/s?k=wago+221-413" TargetMode="External"/><Relationship Id="rId15" Type="http://schemas.openxmlformats.org/officeDocument/2006/relationships/hyperlink" Target="https://www.amazon.in/s?k=10k+ohm+1%2F4w+metal+film+resistor" TargetMode="External"/><Relationship Id="rId16" Type="http://schemas.openxmlformats.org/officeDocument/2006/relationships/hyperlink" Target="https://www.amazon.in/s?k=heat+shrink+tubing+kit+assorted" TargetMode="External"/><Relationship Id="rId17" Type="http://schemas.openxmlformats.org/officeDocument/2006/relationships/hyperlink" Target="https://www.amazon.in/s?k=150mm+uv+nylon+cable+ties" TargetMode="External"/><Relationship Id="rId18" Type="http://schemas.openxmlformats.org/officeDocument/2006/relationships/hyperlink" Target="https://www.amazon.in/s?k=dc+barrel+jack+5.5x2.1+male+female+pigtail" TargetMode="External"/><Relationship Id="rId19" Type="http://schemas.openxmlformats.org/officeDocument/2006/relationships/hyperlink" Target="https://www.amazon.in/s?k=perfboard+screw+terminal+block+jumper+wire+kit" TargetMode="External"/><Relationship Id="rId20" Type="http://schemas.openxmlformats.org/officeDocument/2006/relationships/hyperlink" Target="https://www.amazon.in/s?k=havells+16a+dp+mcb+c+curve" TargetMode="External"/><Relationship Id="rId21" Type="http://schemas.openxmlformats.org/officeDocument/2006/relationships/hyperlink" Target="https://www.amazon.in/s?k=rccb+2+pole+25a+30ma" TargetMode="External"/><Relationship Id="rId22" Type="http://schemas.openxmlformats.org/officeDocument/2006/relationships/hyperlink" Target="https://www.amazon.in/s?k=surge+protection+device+type+2+single+phase+275v" TargetMode="External"/><Relationship Id="rId23" Type="http://schemas.openxmlformats.org/officeDocument/2006/relationships/hyperlink" Target="https://www.amazon.in/s?k=schneider+easypact+tvs+contactor+25a+220v" TargetMode="External"/><Relationship Id="rId24" Type="http://schemas.openxmlformats.org/officeDocument/2006/relationships/hyperlink" Target="https://www.amazon.in/s?k=thermal+overload+relay+4-10a" TargetMode="External"/><Relationship Id="rId25" Type="http://schemas.openxmlformats.org/officeDocument/2006/relationships/hyperlink" Target="https://www.amazon.in/s?k=5v+1+channel+relay+module+optocoupler" TargetMode="External"/><Relationship Id="rId26" Type="http://schemas.openxmlformats.org/officeDocument/2006/relationships/hyperlink" Target="https://www.amazon.in/s?k=rc+snubber+0.1uf+100+ohm" TargetMode="External"/><Relationship Id="rId27" Type="http://schemas.openxmlformats.org/officeDocument/2006/relationships/hyperlink" Target="https://www.amazon.in/s?k=22mm+selector+switch+2+position" TargetMode="External"/><Relationship Id="rId28" Type="http://schemas.openxmlformats.org/officeDocument/2006/relationships/hyperlink" Target="https://www.amazon.in/s?k=ip65+abs+enclosure+250x200x120+din+rail" TargetMode="External"/><Relationship Id="rId29" Type="http://schemas.openxmlformats.org/officeDocument/2006/relationships/hyperlink" Target="https://www.amazon.in/s?k=din+rail+35mm" TargetMode="External"/><Relationship Id="rId30" Type="http://schemas.openxmlformats.org/officeDocument/2006/relationships/hyperlink" Target="https://www.amazon.in/s?k=ferrule+lug+crimp+terminal+kit" TargetMode="External"/><Relationship Id="rId31" Type="http://schemas.openxmlformats.org/officeDocument/2006/relationships/hyperlink" Target="https://www.amazon.in/s?k=polycab+2.5+sq+mm+frls+wire" TargetMode="External"/><Relationship Id="rId32" Type="http://schemas.openxmlformats.org/officeDocument/2006/relationships/hyperlink" Target="https://www.amazon.in/s?k=din+rail+terminal+block+2.5mm" TargetMode="External"/><Relationship Id="rId33" Type="http://schemas.openxmlformats.org/officeDocument/2006/relationships/hyperlink" Target="https://www.amazon.in/s?k=pg11+pg13.5+nylon+cable+gland" TargetMode="External"/><Relationship Id="rId34" Type="http://schemas.openxmlformats.org/officeDocument/2006/relationships/hyperlink" Target="https://www.amazon.in/s?k=ss316+float+switch+vertical+75mm" TargetMode="External"/><Relationship Id="rId35" Type="http://schemas.openxmlformats.org/officeDocument/2006/relationships/hyperlink" Target="https://www.amazon.in/s?k=stainless+steel+float+switch+water+tank" TargetMode="External"/><Relationship Id="rId36" Type="http://schemas.openxmlformats.org/officeDocument/2006/relationships/hyperlink" Target="https://www.amazon.in/s?k=4+core+shielded+cable+0.5+sq+mm" TargetMode="External"/><Relationship Id="rId37" Type="http://schemas.openxmlformats.org/officeDocument/2006/relationships/hyperlink" Target="https://www.amazon.in/s?k=2+core+shielded+cable+0.5+sq+mm" TargetMode="External"/><Relationship Id="rId38" Type="http://schemas.openxmlformats.org/officeDocument/2006/relationships/hyperlink" Target="https://www.amazon.in/s?k=esp32-c3+super+mini" TargetMode="External"/><Relationship Id="rId39" Type="http://schemas.openxmlformats.org/officeDocument/2006/relationships/hyperlink" Target="https://www.amazon.in/s?k=ads1115+16+bit+adc+module" TargetMode="External"/><Relationship Id="rId40" Type="http://schemas.openxmlformats.org/officeDocument/2006/relationships/hyperlink" Target="https://www.amazon.in/s?k=capacitive+soil+moisture+sensor+v1.2" TargetMode="External"/><Relationship Id="rId41" Type="http://schemas.openxmlformats.org/officeDocument/2006/relationships/hyperlink" Target="https://www.amazon.in/s?k=lr7843+4+channel+mosfet+module" TargetMode="External"/><Relationship Id="rId42" Type="http://schemas.openxmlformats.org/officeDocument/2006/relationships/hyperlink" Target="https://www.amazon.in/s?k=12v+dc+brushless+submersible+mini+pump+240l%2Fh" TargetMode="External"/><Relationship Id="rId43" Type="http://schemas.openxmlformats.org/officeDocument/2006/relationships/hyperlink" Target="https://www.amazon.in/s?k=1n4007+diode" TargetMode="External"/><Relationship Id="rId44" Type="http://schemas.openxmlformats.org/officeDocument/2006/relationships/hyperlink" Target="https://www.amazon.in/s?k=polypropylene+float+switch+water+level" TargetMode="External"/><Relationship Id="rId45" Type="http://schemas.openxmlformats.org/officeDocument/2006/relationships/hyperlink" Target="https://www.amazon.in/s?k=12v+3a+dc+power+adapter+5.5x2.1" TargetMode="External"/><Relationship Id="rId46" Type="http://schemas.openxmlformats.org/officeDocument/2006/relationships/hyperlink" Target="https://www.amazon.in/s?k=mp1584en+buck" TargetMode="External"/><Relationship Id="rId47" Type="http://schemas.openxmlformats.org/officeDocument/2006/relationships/hyperlink" Target="https://www.amazon.in/s?k=yf-s401+water+flow+sensor" TargetMode="External"/><Relationship Id="rId48" Type="http://schemas.openxmlformats.org/officeDocument/2006/relationships/hyperlink" Target="https://www.amazon.in/s?k=4mm+one+way+check+valve+drip" TargetMode="External"/><Relationship Id="rId49" Type="http://schemas.openxmlformats.org/officeDocument/2006/relationships/hyperlink" Target="https://www.amazon.in/s?k=4mm+barbed+tee+connector" TargetMode="External"/><Relationship Id="rId50" Type="http://schemas.openxmlformats.org/officeDocument/2006/relationships/hyperlink" Target="https://www.amazon.in/s?k=4mm+7mm+silicone+tube+15+meter" TargetMode="External"/><Relationship Id="rId51" Type="http://schemas.openxmlformats.org/officeDocument/2006/relationships/hyperlink" Target="https://www.amazon.in/s?k=4mm+adjustable+drip+stake+emitter" TargetMode="External"/><Relationship Id="rId52" Type="http://schemas.openxmlformats.org/officeDocument/2006/relationships/hyperlink" Target="https://www.amazon.in/s?k=submersible+pump+inlet+filter+mesh" TargetMode="External"/><Relationship Id="rId53" Type="http://schemas.openxmlformats.org/officeDocument/2006/relationships/hyperlink" Target="https://www.amazon.in/s?k=ip65+abs+enclosure+150x110x70" TargetMode="External"/><Relationship Id="rId54" Type="http://schemas.openxmlformats.org/officeDocument/2006/relationships/hyperlink" Target="https://www.amazon.in/s?k=pg7+nylon+cable+gland" TargetMode="External"/><Relationship Id="rId55" Type="http://schemas.openxmlformats.org/officeDocument/2006/relationships/hyperlink" Target="https://www.amazon.in/s?k=silicone+hose+reducer+8mm+to+4mm+barbed" TargetMode="External"/><Relationship Id="rId56" Type="http://schemas.openxmlformats.org/officeDocument/2006/relationships/hyperlink" Target="https://www.amazon.in/s?k=esp32-c3+super+mini" TargetMode="External"/><Relationship Id="rId57" Type="http://schemas.openxmlformats.org/officeDocument/2006/relationships/hyperlink" Target="https://www.amazon.in/s?k=bme280+i2c+module" TargetMode="External"/><Relationship Id="rId58" Type="http://schemas.openxmlformats.org/officeDocument/2006/relationships/hyperlink" Target="https://www.amazon.in/s?k=0.96+inch+i2c+oled+ssd1306" TargetMode="External"/><Relationship Id="rId59" Type="http://schemas.openxmlformats.org/officeDocument/2006/relationships/hyperlink" Target="https://www.amazon.in/s?k=5v+active+piezo+buzzer+module" TargetMode="External"/><Relationship Id="rId60" Type="http://schemas.openxmlformats.org/officeDocument/2006/relationships/hyperlink" Target="https://www.amazon.in/s?k=ads1115+16+bit+adc+module" TargetMode="External"/><Relationship Id="rId6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23.85" hidden="false" customHeight="false" outlineLevel="0" collapsed="false">
      <c r="A5" s="5" t="s">
        <v>4</v>
      </c>
      <c r="B5" s="6" t="s">
        <v>5</v>
      </c>
    </row>
    <row r="6" customFormat="false" ht="15" hidden="false" customHeight="false" outlineLevel="0" collapsed="false">
      <c r="A6" s="5" t="s">
        <v>6</v>
      </c>
      <c r="B6" s="6" t="s">
        <v>7</v>
      </c>
    </row>
    <row r="7" customFormat="false" ht="15" hidden="false" customHeight="false" outlineLevel="0" collapsed="false">
      <c r="A7" s="5" t="s">
        <v>8</v>
      </c>
      <c r="B7" s="6" t="s">
        <v>9</v>
      </c>
    </row>
    <row r="8" customFormat="false" ht="15" hidden="false" customHeight="false" outlineLevel="0" collapsed="false">
      <c r="A8" s="5" t="s">
        <v>10</v>
      </c>
      <c r="B8" s="6" t="s">
        <v>11</v>
      </c>
    </row>
    <row r="9" customFormat="false" ht="15" hidden="false" customHeight="false" outlineLevel="0" collapsed="false">
      <c r="A9" s="5" t="s">
        <v>12</v>
      </c>
      <c r="B9" s="6" t="s">
        <v>13</v>
      </c>
    </row>
    <row r="10" customFormat="false" ht="15" hidden="false" customHeight="false" outlineLevel="0" collapsed="false">
      <c r="A10" s="5" t="s">
        <v>14</v>
      </c>
      <c r="B10" s="6" t="s">
        <v>15</v>
      </c>
    </row>
    <row r="11" customFormat="false" ht="15" hidden="false" customHeight="false" outlineLevel="0" collapsed="false">
      <c r="A11" s="5" t="s">
        <v>16</v>
      </c>
      <c r="B11" s="6" t="s">
        <v>17</v>
      </c>
    </row>
    <row r="12" customFormat="false" ht="15" hidden="false" customHeight="false" outlineLevel="0" collapsed="false">
      <c r="A12" s="5"/>
      <c r="B12" s="6"/>
    </row>
    <row r="13" customFormat="false" ht="15" hidden="false" customHeight="false" outlineLevel="0" collapsed="false">
      <c r="A13" s="3" t="s">
        <v>18</v>
      </c>
      <c r="B13" s="4"/>
    </row>
    <row r="14" customFormat="false" ht="15" hidden="false" customHeight="false" outlineLevel="0" collapsed="false">
      <c r="A14" s="7" t="s">
        <v>19</v>
      </c>
      <c r="B14" s="6" t="s">
        <v>20</v>
      </c>
    </row>
    <row r="15" customFormat="false" ht="15" hidden="false" customHeight="false" outlineLevel="0" collapsed="false">
      <c r="A15" s="5" t="s">
        <v>21</v>
      </c>
      <c r="B15" s="6" t="s">
        <v>22</v>
      </c>
    </row>
    <row r="16" customFormat="false" ht="15" hidden="false" customHeight="false" outlineLevel="0" collapsed="false">
      <c r="A16" s="8" t="s">
        <v>23</v>
      </c>
      <c r="B16" s="6" t="s">
        <v>24</v>
      </c>
    </row>
    <row r="17" customFormat="false" ht="15" hidden="false" customHeight="false" outlineLevel="0" collapsed="false">
      <c r="A17" s="5"/>
      <c r="B17" s="6"/>
    </row>
    <row r="18" customFormat="false" ht="15" hidden="false" customHeight="false" outlineLevel="0" collapsed="false">
      <c r="A18" s="3" t="s">
        <v>25</v>
      </c>
      <c r="B18" s="4"/>
    </row>
    <row r="19" customFormat="false" ht="15" hidden="false" customHeight="false" outlineLevel="0" collapsed="false">
      <c r="A19" s="5" t="s">
        <v>26</v>
      </c>
      <c r="B19" s="6" t="s">
        <v>27</v>
      </c>
    </row>
    <row r="20" customFormat="false" ht="15" hidden="false" customHeight="false" outlineLevel="0" collapsed="false">
      <c r="A20" s="5" t="s">
        <v>28</v>
      </c>
      <c r="B20" s="6" t="s">
        <v>29</v>
      </c>
    </row>
    <row r="21" customFormat="false" ht="23.85" hidden="false" customHeight="false" outlineLevel="0" collapsed="false">
      <c r="A21" s="5" t="s">
        <v>30</v>
      </c>
      <c r="B21" s="6" t="s">
        <v>31</v>
      </c>
    </row>
    <row r="22" customFormat="false" ht="15" hidden="false" customHeight="false" outlineLevel="0" collapsed="false">
      <c r="A22" s="5" t="s">
        <v>32</v>
      </c>
      <c r="B22" s="6" t="s">
        <v>33</v>
      </c>
    </row>
    <row r="23" customFormat="false" ht="23.85" hidden="false" customHeight="false" outlineLevel="0" collapsed="false">
      <c r="A23" s="5" t="s">
        <v>34</v>
      </c>
      <c r="B23" s="6" t="s">
        <v>35</v>
      </c>
    </row>
    <row r="24" customFormat="false" ht="15" hidden="false" customHeight="false" outlineLevel="0" collapsed="false">
      <c r="A24" s="5" t="s">
        <v>36</v>
      </c>
      <c r="B24" s="6"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4"/>
    <col collapsed="false" customWidth="true" hidden="false" outlineLevel="0" max="4" min="4" style="0" width="8"/>
    <col collapsed="false" customWidth="true" hidden="false" outlineLevel="0" max="6" min="5" style="0" width="12"/>
    <col collapsed="false" customWidth="true" hidden="false" outlineLevel="0" max="7" min="7" style="0" width="40"/>
    <col collapsed="false" customWidth="true" hidden="false" outlineLevel="0" max="8" min="8" style="0" width="44"/>
    <col collapsed="false" customWidth="true" hidden="false" outlineLevel="0" max="9" min="9" style="0" width="34"/>
    <col collapsed="false" customWidth="true" hidden="false" outlineLevel="0" max="10" min="10" style="0" width="58"/>
    <col collapsed="false" customWidth="true" hidden="false" outlineLevel="0" max="11" min="11" style="0" width="48"/>
    <col collapsed="false" customWidth="true" hidden="false" outlineLevel="0" max="12" min="12" style="0" width="16"/>
    <col collapsed="false" customWidth="true" hidden="false" outlineLevel="0" max="13" min="13" style="0" width="28"/>
    <col collapsed="false" customWidth="true" hidden="false" outlineLevel="0" max="14" min="14" style="0" width="22"/>
  </cols>
  <sheetData>
    <row r="1" customFormat="false" ht="17.35" hidden="false" customHeight="false" outlineLevel="0" collapsed="false">
      <c r="A1" s="1" t="s">
        <v>38</v>
      </c>
    </row>
    <row r="2" customFormat="false" ht="15" hidden="false" customHeight="false" outlineLevel="0" collapsed="false">
      <c r="A2" s="2" t="s">
        <v>39</v>
      </c>
    </row>
    <row r="4" customFormat="false" ht="23.85" hidden="false" customHeight="false" outlineLevel="0" collapsed="false">
      <c r="A4" s="9" t="s">
        <v>40</v>
      </c>
      <c r="B4" s="9" t="s">
        <v>41</v>
      </c>
      <c r="C4" s="9" t="s">
        <v>42</v>
      </c>
      <c r="D4" s="9" t="s">
        <v>43</v>
      </c>
      <c r="E4" s="9" t="s">
        <v>44</v>
      </c>
      <c r="F4" s="9" t="s">
        <v>45</v>
      </c>
      <c r="G4" s="9" t="s">
        <v>46</v>
      </c>
      <c r="H4" s="9" t="s">
        <v>47</v>
      </c>
      <c r="I4" s="9" t="s">
        <v>48</v>
      </c>
      <c r="J4" s="9" t="s">
        <v>49</v>
      </c>
      <c r="K4" s="9" t="s">
        <v>50</v>
      </c>
      <c r="L4" s="9" t="s">
        <v>51</v>
      </c>
      <c r="M4" s="9" t="s">
        <v>52</v>
      </c>
      <c r="N4" s="9" t="s">
        <v>53</v>
      </c>
    </row>
    <row r="5" customFormat="false" ht="35.05" hidden="false" customHeight="false" outlineLevel="0" collapsed="false">
      <c r="A5" s="10" t="n">
        <v>1</v>
      </c>
      <c r="B5" s="11" t="s">
        <v>54</v>
      </c>
      <c r="C5" s="12" t="s">
        <v>55</v>
      </c>
      <c r="D5" s="11" t="s">
        <v>56</v>
      </c>
      <c r="E5" s="13" t="n">
        <v>650</v>
      </c>
      <c r="F5" s="13" t="n">
        <v>750</v>
      </c>
      <c r="G5" s="11" t="s">
        <v>57</v>
      </c>
      <c r="H5" s="11" t="s">
        <v>58</v>
      </c>
      <c r="I5" s="11" t="s">
        <v>59</v>
      </c>
      <c r="J5" s="11" t="s">
        <v>60</v>
      </c>
      <c r="K5" s="11" t="s">
        <v>61</v>
      </c>
      <c r="L5" s="14" t="s">
        <v>62</v>
      </c>
      <c r="M5" s="11" t="s">
        <v>63</v>
      </c>
      <c r="N5" s="15" t="s">
        <v>64</v>
      </c>
    </row>
    <row r="6" customFormat="false" ht="35.05" hidden="false" customHeight="false" outlineLevel="0" collapsed="false">
      <c r="A6" s="10" t="n">
        <v>2</v>
      </c>
      <c r="B6" s="11" t="s">
        <v>54</v>
      </c>
      <c r="C6" s="12" t="s">
        <v>65</v>
      </c>
      <c r="D6" s="11" t="s">
        <v>56</v>
      </c>
      <c r="E6" s="13" t="n">
        <v>180</v>
      </c>
      <c r="F6" s="13" t="n">
        <v>250</v>
      </c>
      <c r="G6" s="11" t="s">
        <v>66</v>
      </c>
      <c r="H6" s="11" t="s">
        <v>67</v>
      </c>
      <c r="I6" s="11" t="s">
        <v>68</v>
      </c>
      <c r="J6" s="11" t="s">
        <v>69</v>
      </c>
      <c r="K6" s="11" t="s">
        <v>70</v>
      </c>
      <c r="L6" s="14" t="s">
        <v>62</v>
      </c>
      <c r="M6" s="11" t="s">
        <v>71</v>
      </c>
      <c r="N6" s="15" t="s">
        <v>64</v>
      </c>
    </row>
    <row r="7" customFormat="false" ht="23.85" hidden="false" customHeight="false" outlineLevel="0" collapsed="false">
      <c r="A7" s="10" t="n">
        <v>3</v>
      </c>
      <c r="B7" s="11" t="s">
        <v>54</v>
      </c>
      <c r="C7" s="12" t="s">
        <v>72</v>
      </c>
      <c r="D7" s="11" t="s">
        <v>56</v>
      </c>
      <c r="E7" s="13" t="n">
        <v>300</v>
      </c>
      <c r="F7" s="13" t="n">
        <v>450</v>
      </c>
      <c r="G7" s="11" t="s">
        <v>73</v>
      </c>
      <c r="H7" s="11" t="s">
        <v>74</v>
      </c>
      <c r="I7" s="11" t="s">
        <v>75</v>
      </c>
      <c r="J7" s="11" t="s">
        <v>76</v>
      </c>
      <c r="K7" s="11" t="s">
        <v>77</v>
      </c>
      <c r="L7" s="14" t="s">
        <v>62</v>
      </c>
      <c r="M7" s="11" t="s">
        <v>78</v>
      </c>
      <c r="N7" s="15" t="s">
        <v>64</v>
      </c>
    </row>
    <row r="8" customFormat="false" ht="35.05" hidden="false" customHeight="false" outlineLevel="0" collapsed="false">
      <c r="A8" s="10" t="n">
        <v>4</v>
      </c>
      <c r="B8" s="11" t="s">
        <v>54</v>
      </c>
      <c r="C8" s="12" t="s">
        <v>79</v>
      </c>
      <c r="D8" s="11" t="s">
        <v>56</v>
      </c>
      <c r="E8" s="13" t="n">
        <v>350</v>
      </c>
      <c r="F8" s="13" t="n">
        <v>550</v>
      </c>
      <c r="G8" s="11" t="s">
        <v>80</v>
      </c>
      <c r="H8" s="11" t="s">
        <v>81</v>
      </c>
      <c r="I8" s="11" t="s">
        <v>82</v>
      </c>
      <c r="J8" s="11" t="s">
        <v>83</v>
      </c>
      <c r="K8" s="11" t="s">
        <v>84</v>
      </c>
      <c r="L8" s="14" t="s">
        <v>62</v>
      </c>
      <c r="M8" s="11" t="s">
        <v>78</v>
      </c>
      <c r="N8" s="16" t="s">
        <v>85</v>
      </c>
    </row>
    <row r="9" customFormat="false" ht="35.05" hidden="false" customHeight="false" outlineLevel="0" collapsed="false">
      <c r="A9" s="10" t="n">
        <v>5</v>
      </c>
      <c r="B9" s="11" t="s">
        <v>54</v>
      </c>
      <c r="C9" s="12" t="s">
        <v>86</v>
      </c>
      <c r="D9" s="11" t="s">
        <v>56</v>
      </c>
      <c r="E9" s="13" t="n">
        <v>1200</v>
      </c>
      <c r="F9" s="13" t="n">
        <v>1650</v>
      </c>
      <c r="G9" s="11" t="s">
        <v>87</v>
      </c>
      <c r="H9" s="11" t="s">
        <v>88</v>
      </c>
      <c r="I9" s="11" t="s">
        <v>89</v>
      </c>
      <c r="J9" s="11" t="s">
        <v>90</v>
      </c>
      <c r="K9" s="11" t="s">
        <v>91</v>
      </c>
      <c r="L9" s="14" t="s">
        <v>62</v>
      </c>
      <c r="M9" s="11" t="s">
        <v>92</v>
      </c>
      <c r="N9" s="11" t="s">
        <v>93</v>
      </c>
    </row>
    <row r="10" customFormat="false" ht="35.05" hidden="false" customHeight="false" outlineLevel="0" collapsed="false">
      <c r="A10" s="10" t="n">
        <v>6</v>
      </c>
      <c r="B10" s="11" t="s">
        <v>54</v>
      </c>
      <c r="C10" s="12" t="s">
        <v>94</v>
      </c>
      <c r="D10" s="11" t="s">
        <v>56</v>
      </c>
      <c r="E10" s="13" t="n">
        <v>80</v>
      </c>
      <c r="F10" s="13" t="n">
        <v>120</v>
      </c>
      <c r="G10" s="11" t="s">
        <v>95</v>
      </c>
      <c r="H10" s="11" t="s">
        <v>96</v>
      </c>
      <c r="I10" s="11" t="s">
        <v>82</v>
      </c>
      <c r="J10" s="11" t="s">
        <v>97</v>
      </c>
      <c r="K10" s="11" t="s">
        <v>98</v>
      </c>
      <c r="L10" s="14" t="s">
        <v>62</v>
      </c>
      <c r="M10" s="11" t="s">
        <v>71</v>
      </c>
      <c r="N10" s="11" t="s">
        <v>93</v>
      </c>
    </row>
    <row r="11" customFormat="false" ht="35.05" hidden="false" customHeight="false" outlineLevel="0" collapsed="false">
      <c r="A11" s="10" t="n">
        <v>7</v>
      </c>
      <c r="B11" s="11" t="s">
        <v>54</v>
      </c>
      <c r="C11" s="12" t="s">
        <v>99</v>
      </c>
      <c r="D11" s="11" t="s">
        <v>56</v>
      </c>
      <c r="E11" s="13" t="n">
        <v>150</v>
      </c>
      <c r="F11" s="13" t="n">
        <v>250</v>
      </c>
      <c r="G11" s="11" t="s">
        <v>100</v>
      </c>
      <c r="H11" s="11" t="s">
        <v>101</v>
      </c>
      <c r="I11" s="11" t="s">
        <v>102</v>
      </c>
      <c r="J11" s="11" t="s">
        <v>103</v>
      </c>
      <c r="K11" s="11" t="s">
        <v>104</v>
      </c>
      <c r="L11" s="14" t="s">
        <v>62</v>
      </c>
      <c r="M11" s="11" t="s">
        <v>105</v>
      </c>
      <c r="N11" s="16" t="s">
        <v>85</v>
      </c>
    </row>
    <row r="12" customFormat="false" ht="23.85" hidden="false" customHeight="false" outlineLevel="0" collapsed="false">
      <c r="A12" s="10" t="n">
        <v>8</v>
      </c>
      <c r="B12" s="11" t="s">
        <v>54</v>
      </c>
      <c r="C12" s="12" t="s">
        <v>106</v>
      </c>
      <c r="D12" s="11" t="s">
        <v>107</v>
      </c>
      <c r="E12" s="13" t="n">
        <v>60</v>
      </c>
      <c r="F12" s="13" t="n">
        <v>100</v>
      </c>
      <c r="G12" s="11" t="s">
        <v>108</v>
      </c>
      <c r="H12" s="11" t="s">
        <v>109</v>
      </c>
      <c r="I12" s="11" t="s">
        <v>110</v>
      </c>
      <c r="J12" s="11" t="s">
        <v>111</v>
      </c>
      <c r="K12" s="11" t="s">
        <v>112</v>
      </c>
      <c r="L12" s="14" t="s">
        <v>62</v>
      </c>
      <c r="M12" s="11" t="s">
        <v>113</v>
      </c>
      <c r="N12" s="16" t="s">
        <v>114</v>
      </c>
    </row>
    <row r="13" customFormat="false" ht="35.05" hidden="false" customHeight="false" outlineLevel="0" collapsed="false">
      <c r="A13" s="10" t="n">
        <v>9</v>
      </c>
      <c r="B13" s="11" t="s">
        <v>54</v>
      </c>
      <c r="C13" s="12" t="s">
        <v>115</v>
      </c>
      <c r="D13" s="11" t="s">
        <v>56</v>
      </c>
      <c r="E13" s="13" t="n">
        <v>120</v>
      </c>
      <c r="F13" s="13" t="n">
        <v>180</v>
      </c>
      <c r="G13" s="11" t="s">
        <v>116</v>
      </c>
      <c r="H13" s="11" t="s">
        <v>117</v>
      </c>
      <c r="I13" s="11" t="s">
        <v>82</v>
      </c>
      <c r="J13" s="11" t="s">
        <v>118</v>
      </c>
      <c r="K13" s="11" t="s">
        <v>119</v>
      </c>
      <c r="L13" s="14" t="s">
        <v>62</v>
      </c>
      <c r="M13" s="11" t="s">
        <v>71</v>
      </c>
      <c r="N13" s="11" t="s">
        <v>93</v>
      </c>
    </row>
    <row r="14" customFormat="false" ht="23.85" hidden="false" customHeight="false" outlineLevel="0" collapsed="false">
      <c r="A14" s="10" t="n">
        <v>10</v>
      </c>
      <c r="B14" s="11" t="s">
        <v>54</v>
      </c>
      <c r="C14" s="12" t="s">
        <v>120</v>
      </c>
      <c r="D14" s="11" t="s">
        <v>121</v>
      </c>
      <c r="E14" s="13" t="n">
        <v>30</v>
      </c>
      <c r="F14" s="13" t="n">
        <v>60</v>
      </c>
      <c r="G14" s="11" t="s">
        <v>122</v>
      </c>
      <c r="H14" s="11" t="s">
        <v>123</v>
      </c>
      <c r="I14" s="11" t="s">
        <v>124</v>
      </c>
      <c r="J14" s="11" t="s">
        <v>125</v>
      </c>
      <c r="K14" s="11" t="s">
        <v>126</v>
      </c>
      <c r="L14" s="14" t="s">
        <v>62</v>
      </c>
      <c r="M14" s="11" t="s">
        <v>127</v>
      </c>
      <c r="N14" s="11" t="s">
        <v>93</v>
      </c>
    </row>
    <row r="15" customFormat="false" ht="23.85" hidden="false" customHeight="false" outlineLevel="0" collapsed="false">
      <c r="A15" s="10" t="n">
        <v>11</v>
      </c>
      <c r="B15" s="11" t="s">
        <v>54</v>
      </c>
      <c r="C15" s="12" t="s">
        <v>128</v>
      </c>
      <c r="D15" s="11" t="s">
        <v>56</v>
      </c>
      <c r="E15" s="13" t="n">
        <v>60</v>
      </c>
      <c r="F15" s="13" t="n">
        <v>120</v>
      </c>
      <c r="G15" s="11" t="s">
        <v>129</v>
      </c>
      <c r="H15" s="11" t="s">
        <v>130</v>
      </c>
      <c r="I15" s="11" t="s">
        <v>131</v>
      </c>
      <c r="J15" s="11" t="s">
        <v>132</v>
      </c>
      <c r="K15" s="11" t="s">
        <v>133</v>
      </c>
      <c r="L15" s="14" t="s">
        <v>62</v>
      </c>
      <c r="M15" s="11" t="s">
        <v>71</v>
      </c>
      <c r="N15" s="16" t="s">
        <v>114</v>
      </c>
    </row>
    <row r="16" customFormat="false" ht="23.85" hidden="false" customHeight="false" outlineLevel="0" collapsed="false">
      <c r="A16" s="10" t="n">
        <v>12</v>
      </c>
      <c r="B16" s="11" t="s">
        <v>54</v>
      </c>
      <c r="C16" s="12" t="s">
        <v>134</v>
      </c>
      <c r="D16" s="11" t="s">
        <v>56</v>
      </c>
      <c r="E16" s="13" t="n">
        <v>450</v>
      </c>
      <c r="F16" s="13" t="n">
        <v>650</v>
      </c>
      <c r="G16" s="11" t="s">
        <v>135</v>
      </c>
      <c r="H16" s="11" t="s">
        <v>136</v>
      </c>
      <c r="I16" s="11" t="s">
        <v>137</v>
      </c>
      <c r="J16" s="11" t="s">
        <v>138</v>
      </c>
      <c r="K16" s="11" t="s">
        <v>139</v>
      </c>
      <c r="L16" s="14" t="s">
        <v>62</v>
      </c>
      <c r="M16" s="11" t="s">
        <v>140</v>
      </c>
      <c r="N16" s="15" t="s">
        <v>64</v>
      </c>
    </row>
    <row r="17" customFormat="false" ht="23.85" hidden="false" customHeight="false" outlineLevel="0" collapsed="false">
      <c r="A17" s="10" t="n">
        <v>13</v>
      </c>
      <c r="B17" s="11" t="s">
        <v>54</v>
      </c>
      <c r="C17" s="12" t="s">
        <v>141</v>
      </c>
      <c r="D17" s="11" t="s">
        <v>142</v>
      </c>
      <c r="E17" s="13" t="n">
        <v>120</v>
      </c>
      <c r="F17" s="13" t="n">
        <v>180</v>
      </c>
      <c r="G17" s="11" t="s">
        <v>143</v>
      </c>
      <c r="H17" s="11" t="s">
        <v>144</v>
      </c>
      <c r="I17" s="11" t="s">
        <v>145</v>
      </c>
      <c r="J17" s="11" t="s">
        <v>146</v>
      </c>
      <c r="K17" s="11" t="s">
        <v>147</v>
      </c>
      <c r="L17" s="14" t="s">
        <v>62</v>
      </c>
      <c r="M17" s="11" t="s">
        <v>148</v>
      </c>
      <c r="N17" s="11" t="s">
        <v>149</v>
      </c>
    </row>
    <row r="18" customFormat="false" ht="23.85" hidden="false" customHeight="false" outlineLevel="0" collapsed="false">
      <c r="A18" s="10" t="n">
        <v>14</v>
      </c>
      <c r="B18" s="11" t="s">
        <v>54</v>
      </c>
      <c r="C18" s="12" t="s">
        <v>150</v>
      </c>
      <c r="D18" s="11" t="s">
        <v>142</v>
      </c>
      <c r="E18" s="13" t="n">
        <v>560</v>
      </c>
      <c r="F18" s="13" t="n">
        <v>860</v>
      </c>
      <c r="G18" s="11" t="s">
        <v>151</v>
      </c>
      <c r="H18" s="11" t="s">
        <v>152</v>
      </c>
      <c r="I18" s="11" t="s">
        <v>153</v>
      </c>
      <c r="J18" s="11" t="s">
        <v>154</v>
      </c>
      <c r="K18" s="11" t="s">
        <v>155</v>
      </c>
      <c r="L18" s="14" t="s">
        <v>62</v>
      </c>
      <c r="M18" s="11" t="s">
        <v>156</v>
      </c>
      <c r="N18" s="11" t="s">
        <v>93</v>
      </c>
    </row>
    <row r="19" customFormat="false" ht="23.85" hidden="false" customHeight="false" outlineLevel="0" collapsed="false">
      <c r="A19" s="10" t="n">
        <v>15</v>
      </c>
      <c r="B19" s="11" t="s">
        <v>54</v>
      </c>
      <c r="C19" s="12" t="s">
        <v>157</v>
      </c>
      <c r="D19" s="11" t="s">
        <v>142</v>
      </c>
      <c r="E19" s="13" t="n">
        <v>15</v>
      </c>
      <c r="F19" s="13" t="n">
        <v>25</v>
      </c>
      <c r="G19" s="11" t="s">
        <v>158</v>
      </c>
      <c r="H19" s="11" t="s">
        <v>159</v>
      </c>
      <c r="I19" s="11" t="s">
        <v>160</v>
      </c>
      <c r="J19" s="11" t="s">
        <v>161</v>
      </c>
      <c r="K19" s="11" t="s">
        <v>162</v>
      </c>
      <c r="L19" s="14" t="s">
        <v>62</v>
      </c>
      <c r="M19" s="11" t="s">
        <v>163</v>
      </c>
      <c r="N19" s="16" t="s">
        <v>164</v>
      </c>
    </row>
    <row r="20" customFormat="false" ht="23.85" hidden="false" customHeight="false" outlineLevel="0" collapsed="false">
      <c r="A20" s="10" t="n">
        <v>16</v>
      </c>
      <c r="B20" s="11" t="s">
        <v>54</v>
      </c>
      <c r="C20" s="12" t="s">
        <v>165</v>
      </c>
      <c r="D20" s="11" t="s">
        <v>56</v>
      </c>
      <c r="E20" s="13" t="n">
        <v>90</v>
      </c>
      <c r="F20" s="13" t="n">
        <v>120</v>
      </c>
      <c r="G20" s="11" t="s">
        <v>166</v>
      </c>
      <c r="H20" s="11" t="s">
        <v>167</v>
      </c>
      <c r="I20" s="11" t="s">
        <v>168</v>
      </c>
      <c r="J20" s="11" t="s">
        <v>169</v>
      </c>
      <c r="K20" s="11" t="s">
        <v>170</v>
      </c>
      <c r="L20" s="14" t="s">
        <v>62</v>
      </c>
      <c r="M20" s="11" t="s">
        <v>171</v>
      </c>
      <c r="N20" s="16" t="s">
        <v>114</v>
      </c>
    </row>
    <row r="21" customFormat="false" ht="23.85" hidden="false" customHeight="false" outlineLevel="0" collapsed="false">
      <c r="A21" s="10" t="n">
        <v>17</v>
      </c>
      <c r="B21" s="11" t="s">
        <v>54</v>
      </c>
      <c r="C21" s="12" t="s">
        <v>172</v>
      </c>
      <c r="D21" s="11" t="s">
        <v>173</v>
      </c>
      <c r="E21" s="13" t="n">
        <v>60</v>
      </c>
      <c r="F21" s="13" t="n">
        <v>80</v>
      </c>
      <c r="G21" s="11" t="s">
        <v>174</v>
      </c>
      <c r="H21" s="11" t="s">
        <v>175</v>
      </c>
      <c r="I21" s="11" t="s">
        <v>176</v>
      </c>
      <c r="J21" s="11" t="s">
        <v>177</v>
      </c>
      <c r="K21" s="11" t="s">
        <v>178</v>
      </c>
      <c r="L21" s="14" t="s">
        <v>62</v>
      </c>
      <c r="M21" s="11" t="s">
        <v>179</v>
      </c>
      <c r="N21" s="16" t="s">
        <v>180</v>
      </c>
    </row>
    <row r="22" customFormat="false" ht="23.85" hidden="false" customHeight="false" outlineLevel="0" collapsed="false">
      <c r="A22" s="10" t="n">
        <v>18</v>
      </c>
      <c r="B22" s="11" t="s">
        <v>54</v>
      </c>
      <c r="C22" s="12" t="s">
        <v>181</v>
      </c>
      <c r="D22" s="11" t="s">
        <v>182</v>
      </c>
      <c r="E22" s="13" t="n">
        <v>60</v>
      </c>
      <c r="F22" s="13" t="n">
        <v>80</v>
      </c>
      <c r="G22" s="11" t="s">
        <v>183</v>
      </c>
      <c r="H22" s="11" t="s">
        <v>184</v>
      </c>
      <c r="I22" s="11" t="s">
        <v>185</v>
      </c>
      <c r="J22" s="11" t="s">
        <v>186</v>
      </c>
      <c r="K22" s="11" t="s">
        <v>187</v>
      </c>
      <c r="L22" s="14" t="s">
        <v>62</v>
      </c>
      <c r="M22" s="11" t="s">
        <v>188</v>
      </c>
      <c r="N22" s="11" t="s">
        <v>93</v>
      </c>
    </row>
    <row r="23" customFormat="false" ht="23.85" hidden="false" customHeight="false" outlineLevel="0" collapsed="false">
      <c r="A23" s="10" t="n">
        <v>19</v>
      </c>
      <c r="B23" s="11" t="s">
        <v>54</v>
      </c>
      <c r="C23" s="12" t="s">
        <v>189</v>
      </c>
      <c r="D23" s="11" t="s">
        <v>190</v>
      </c>
      <c r="E23" s="13" t="n">
        <v>150</v>
      </c>
      <c r="F23" s="13" t="n">
        <v>250</v>
      </c>
      <c r="G23" s="11" t="s">
        <v>191</v>
      </c>
      <c r="H23" s="11" t="s">
        <v>192</v>
      </c>
      <c r="I23" s="11" t="s">
        <v>193</v>
      </c>
      <c r="J23" s="11" t="s">
        <v>194</v>
      </c>
      <c r="K23" s="11" t="s">
        <v>195</v>
      </c>
      <c r="L23" s="14" t="s">
        <v>62</v>
      </c>
      <c r="M23" s="11" t="s">
        <v>71</v>
      </c>
      <c r="N23" s="11" t="s">
        <v>149</v>
      </c>
    </row>
    <row r="24" customFormat="false" ht="23.85" hidden="false" customHeight="false" outlineLevel="0" collapsed="false">
      <c r="A24" s="10" t="n">
        <v>20</v>
      </c>
      <c r="B24" s="11" t="s">
        <v>196</v>
      </c>
      <c r="C24" s="12" t="s">
        <v>197</v>
      </c>
      <c r="D24" s="11" t="s">
        <v>56</v>
      </c>
      <c r="E24" s="13" t="n">
        <v>250</v>
      </c>
      <c r="F24" s="13" t="n">
        <v>400</v>
      </c>
      <c r="G24" s="11" t="s">
        <v>198</v>
      </c>
      <c r="H24" s="11" t="s">
        <v>199</v>
      </c>
      <c r="I24" s="11" t="s">
        <v>200</v>
      </c>
      <c r="J24" s="11" t="s">
        <v>201</v>
      </c>
      <c r="K24" s="11" t="s">
        <v>202</v>
      </c>
      <c r="L24" s="14" t="s">
        <v>62</v>
      </c>
      <c r="M24" s="11" t="s">
        <v>203</v>
      </c>
      <c r="N24" s="16" t="s">
        <v>204</v>
      </c>
    </row>
    <row r="25" customFormat="false" ht="23.85" hidden="false" customHeight="false" outlineLevel="0" collapsed="false">
      <c r="A25" s="10" t="n">
        <v>21</v>
      </c>
      <c r="B25" s="11" t="s">
        <v>196</v>
      </c>
      <c r="C25" s="12" t="s">
        <v>205</v>
      </c>
      <c r="D25" s="11" t="s">
        <v>56</v>
      </c>
      <c r="E25" s="13" t="n">
        <v>800</v>
      </c>
      <c r="F25" s="13" t="n">
        <v>1300</v>
      </c>
      <c r="G25" s="11" t="s">
        <v>206</v>
      </c>
      <c r="H25" s="11" t="s">
        <v>207</v>
      </c>
      <c r="I25" s="11" t="s">
        <v>208</v>
      </c>
      <c r="J25" s="11" t="s">
        <v>209</v>
      </c>
      <c r="K25" s="11" t="s">
        <v>210</v>
      </c>
      <c r="L25" s="14" t="s">
        <v>62</v>
      </c>
      <c r="M25" s="11" t="s">
        <v>203</v>
      </c>
      <c r="N25" s="16" t="s">
        <v>204</v>
      </c>
    </row>
    <row r="26" customFormat="false" ht="23.85" hidden="false" customHeight="false" outlineLevel="0" collapsed="false">
      <c r="A26" s="10" t="n">
        <v>22</v>
      </c>
      <c r="B26" s="11" t="s">
        <v>196</v>
      </c>
      <c r="C26" s="12" t="s">
        <v>211</v>
      </c>
      <c r="D26" s="11" t="s">
        <v>56</v>
      </c>
      <c r="E26" s="13" t="n">
        <v>600</v>
      </c>
      <c r="F26" s="13" t="n">
        <v>1200</v>
      </c>
      <c r="G26" s="11" t="s">
        <v>212</v>
      </c>
      <c r="H26" s="11" t="s">
        <v>213</v>
      </c>
      <c r="I26" s="11" t="s">
        <v>214</v>
      </c>
      <c r="J26" s="11" t="s">
        <v>215</v>
      </c>
      <c r="K26" s="11" t="s">
        <v>216</v>
      </c>
      <c r="L26" s="14" t="s">
        <v>62</v>
      </c>
      <c r="M26" s="11" t="s">
        <v>203</v>
      </c>
      <c r="N26" s="16" t="s">
        <v>217</v>
      </c>
    </row>
    <row r="27" customFormat="false" ht="35.05" hidden="false" customHeight="false" outlineLevel="0" collapsed="false">
      <c r="A27" s="10" t="n">
        <v>23</v>
      </c>
      <c r="B27" s="11" t="s">
        <v>196</v>
      </c>
      <c r="C27" s="12" t="s">
        <v>218</v>
      </c>
      <c r="D27" s="11" t="s">
        <v>56</v>
      </c>
      <c r="E27" s="13" t="n">
        <v>850</v>
      </c>
      <c r="F27" s="13" t="n">
        <v>1200</v>
      </c>
      <c r="G27" s="11" t="s">
        <v>219</v>
      </c>
      <c r="H27" s="11" t="s">
        <v>220</v>
      </c>
      <c r="I27" s="11" t="s">
        <v>221</v>
      </c>
      <c r="J27" s="11" t="s">
        <v>222</v>
      </c>
      <c r="K27" s="11" t="s">
        <v>223</v>
      </c>
      <c r="L27" s="14" t="s">
        <v>62</v>
      </c>
      <c r="M27" s="11" t="s">
        <v>203</v>
      </c>
      <c r="N27" s="16" t="s">
        <v>224</v>
      </c>
    </row>
    <row r="28" customFormat="false" ht="23.85" hidden="false" customHeight="false" outlineLevel="0" collapsed="false">
      <c r="A28" s="10" t="n">
        <v>24</v>
      </c>
      <c r="B28" s="11" t="s">
        <v>196</v>
      </c>
      <c r="C28" s="12" t="s">
        <v>225</v>
      </c>
      <c r="D28" s="11" t="s">
        <v>56</v>
      </c>
      <c r="E28" s="13" t="n">
        <v>600</v>
      </c>
      <c r="F28" s="13" t="n">
        <v>1000</v>
      </c>
      <c r="G28" s="11" t="s">
        <v>226</v>
      </c>
      <c r="H28" s="11" t="s">
        <v>227</v>
      </c>
      <c r="I28" s="11" t="s">
        <v>228</v>
      </c>
      <c r="J28" s="11" t="s">
        <v>229</v>
      </c>
      <c r="K28" s="11" t="s">
        <v>230</v>
      </c>
      <c r="L28" s="14" t="s">
        <v>62</v>
      </c>
      <c r="M28" s="11" t="s">
        <v>231</v>
      </c>
      <c r="N28" s="16" t="s">
        <v>232</v>
      </c>
    </row>
    <row r="29" customFormat="false" ht="35.05" hidden="false" customHeight="false" outlineLevel="0" collapsed="false">
      <c r="A29" s="10" t="n">
        <v>25</v>
      </c>
      <c r="B29" s="11" t="s">
        <v>196</v>
      </c>
      <c r="C29" s="12" t="s">
        <v>233</v>
      </c>
      <c r="D29" s="11" t="s">
        <v>56</v>
      </c>
      <c r="E29" s="13" t="n">
        <v>70</v>
      </c>
      <c r="F29" s="13" t="n">
        <v>90</v>
      </c>
      <c r="G29" s="11" t="s">
        <v>234</v>
      </c>
      <c r="H29" s="11" t="s">
        <v>235</v>
      </c>
      <c r="I29" s="11" t="s">
        <v>236</v>
      </c>
      <c r="J29" s="11" t="s">
        <v>237</v>
      </c>
      <c r="K29" s="11" t="s">
        <v>238</v>
      </c>
      <c r="L29" s="14" t="s">
        <v>62</v>
      </c>
      <c r="M29" s="11" t="s">
        <v>71</v>
      </c>
      <c r="N29" s="16" t="s">
        <v>239</v>
      </c>
    </row>
    <row r="30" customFormat="false" ht="23.85" hidden="false" customHeight="false" outlineLevel="0" collapsed="false">
      <c r="A30" s="10" t="n">
        <v>26</v>
      </c>
      <c r="B30" s="11" t="s">
        <v>196</v>
      </c>
      <c r="C30" s="12" t="s">
        <v>240</v>
      </c>
      <c r="D30" s="11" t="s">
        <v>56</v>
      </c>
      <c r="E30" s="13" t="n">
        <v>40</v>
      </c>
      <c r="F30" s="13" t="n">
        <v>60</v>
      </c>
      <c r="G30" s="11" t="s">
        <v>241</v>
      </c>
      <c r="H30" s="11" t="s">
        <v>242</v>
      </c>
      <c r="I30" s="11" t="s">
        <v>243</v>
      </c>
      <c r="J30" s="11" t="s">
        <v>244</v>
      </c>
      <c r="K30" s="11" t="s">
        <v>245</v>
      </c>
      <c r="L30" s="14" t="s">
        <v>62</v>
      </c>
      <c r="M30" s="11" t="s">
        <v>171</v>
      </c>
      <c r="N30" s="15" t="s">
        <v>64</v>
      </c>
    </row>
    <row r="31" customFormat="false" ht="35.05" hidden="false" customHeight="false" outlineLevel="0" collapsed="false">
      <c r="A31" s="10" t="n">
        <v>27</v>
      </c>
      <c r="B31" s="11" t="s">
        <v>196</v>
      </c>
      <c r="C31" s="12" t="s">
        <v>246</v>
      </c>
      <c r="D31" s="11" t="s">
        <v>56</v>
      </c>
      <c r="E31" s="13" t="n">
        <v>150</v>
      </c>
      <c r="F31" s="13" t="n">
        <v>250</v>
      </c>
      <c r="G31" s="11" t="s">
        <v>247</v>
      </c>
      <c r="H31" s="11" t="s">
        <v>248</v>
      </c>
      <c r="I31" s="11" t="s">
        <v>249</v>
      </c>
      <c r="J31" s="11" t="s">
        <v>250</v>
      </c>
      <c r="K31" s="11" t="s">
        <v>251</v>
      </c>
      <c r="L31" s="14" t="s">
        <v>62</v>
      </c>
      <c r="M31" s="11" t="s">
        <v>203</v>
      </c>
      <c r="N31" s="11" t="s">
        <v>93</v>
      </c>
    </row>
    <row r="32" customFormat="false" ht="23.85" hidden="false" customHeight="false" outlineLevel="0" collapsed="false">
      <c r="A32" s="10" t="n">
        <v>28</v>
      </c>
      <c r="B32" s="11" t="s">
        <v>196</v>
      </c>
      <c r="C32" s="12" t="s">
        <v>252</v>
      </c>
      <c r="D32" s="11" t="s">
        <v>56</v>
      </c>
      <c r="E32" s="13" t="n">
        <v>500</v>
      </c>
      <c r="F32" s="13" t="n">
        <v>900</v>
      </c>
      <c r="G32" s="11" t="s">
        <v>253</v>
      </c>
      <c r="H32" s="11" t="s">
        <v>254</v>
      </c>
      <c r="I32" s="11" t="s">
        <v>255</v>
      </c>
      <c r="J32" s="11" t="s">
        <v>256</v>
      </c>
      <c r="K32" s="11" t="s">
        <v>257</v>
      </c>
      <c r="L32" s="14" t="s">
        <v>62</v>
      </c>
      <c r="M32" s="11" t="s">
        <v>148</v>
      </c>
      <c r="N32" s="15" t="s">
        <v>64</v>
      </c>
    </row>
    <row r="33" customFormat="false" ht="23.85" hidden="false" customHeight="false" outlineLevel="0" collapsed="false">
      <c r="A33" s="10" t="n">
        <v>29</v>
      </c>
      <c r="B33" s="11" t="s">
        <v>196</v>
      </c>
      <c r="C33" s="12" t="s">
        <v>258</v>
      </c>
      <c r="D33" s="11" t="s">
        <v>56</v>
      </c>
      <c r="E33" s="13" t="n">
        <v>40</v>
      </c>
      <c r="F33" s="13" t="n">
        <v>60</v>
      </c>
      <c r="G33" s="11" t="s">
        <v>259</v>
      </c>
      <c r="H33" s="11" t="s">
        <v>260</v>
      </c>
      <c r="I33" s="11" t="s">
        <v>261</v>
      </c>
      <c r="J33" s="11" t="s">
        <v>262</v>
      </c>
      <c r="K33" s="11" t="s">
        <v>170</v>
      </c>
      <c r="L33" s="14" t="s">
        <v>62</v>
      </c>
      <c r="M33" s="11" t="s">
        <v>203</v>
      </c>
      <c r="N33" s="15" t="s">
        <v>64</v>
      </c>
    </row>
    <row r="34" customFormat="false" ht="23.85" hidden="false" customHeight="false" outlineLevel="0" collapsed="false">
      <c r="A34" s="10" t="n">
        <v>30</v>
      </c>
      <c r="B34" s="11" t="s">
        <v>196</v>
      </c>
      <c r="C34" s="12" t="s">
        <v>263</v>
      </c>
      <c r="D34" s="11" t="s">
        <v>56</v>
      </c>
      <c r="E34" s="13" t="n">
        <v>120</v>
      </c>
      <c r="F34" s="13" t="n">
        <v>200</v>
      </c>
      <c r="G34" s="11" t="s">
        <v>264</v>
      </c>
      <c r="H34" s="11" t="s">
        <v>265</v>
      </c>
      <c r="I34" s="11" t="s">
        <v>266</v>
      </c>
      <c r="J34" s="11" t="s">
        <v>267</v>
      </c>
      <c r="K34" s="11" t="s">
        <v>268</v>
      </c>
      <c r="L34" s="14" t="s">
        <v>62</v>
      </c>
      <c r="M34" s="11" t="s">
        <v>203</v>
      </c>
      <c r="N34" s="11" t="s">
        <v>93</v>
      </c>
    </row>
    <row r="35" customFormat="false" ht="23.85" hidden="false" customHeight="false" outlineLevel="0" collapsed="false">
      <c r="A35" s="10" t="n">
        <v>31</v>
      </c>
      <c r="B35" s="11" t="s">
        <v>196</v>
      </c>
      <c r="C35" s="12" t="s">
        <v>269</v>
      </c>
      <c r="D35" s="11" t="s">
        <v>270</v>
      </c>
      <c r="E35" s="13" t="n">
        <v>300</v>
      </c>
      <c r="F35" s="13" t="n">
        <v>450</v>
      </c>
      <c r="G35" s="11" t="s">
        <v>271</v>
      </c>
      <c r="H35" s="11" t="s">
        <v>272</v>
      </c>
      <c r="I35" s="11" t="s">
        <v>273</v>
      </c>
      <c r="J35" s="11" t="s">
        <v>274</v>
      </c>
      <c r="K35" s="11" t="s">
        <v>275</v>
      </c>
      <c r="L35" s="14" t="s">
        <v>62</v>
      </c>
      <c r="M35" s="11" t="s">
        <v>276</v>
      </c>
      <c r="N35" s="15" t="s">
        <v>64</v>
      </c>
    </row>
    <row r="36" customFormat="false" ht="23.85" hidden="false" customHeight="false" outlineLevel="0" collapsed="false">
      <c r="A36" s="10" t="n">
        <v>32</v>
      </c>
      <c r="B36" s="11" t="s">
        <v>196</v>
      </c>
      <c r="C36" s="12" t="s">
        <v>277</v>
      </c>
      <c r="D36" s="11" t="s">
        <v>278</v>
      </c>
      <c r="E36" s="13" t="n">
        <v>100</v>
      </c>
      <c r="F36" s="13" t="n">
        <v>240</v>
      </c>
      <c r="G36" s="11" t="s">
        <v>279</v>
      </c>
      <c r="H36" s="11" t="s">
        <v>280</v>
      </c>
      <c r="I36" s="11" t="s">
        <v>281</v>
      </c>
      <c r="J36" s="11" t="s">
        <v>282</v>
      </c>
      <c r="K36" s="11" t="s">
        <v>283</v>
      </c>
      <c r="L36" s="14" t="s">
        <v>62</v>
      </c>
      <c r="M36" s="11" t="s">
        <v>203</v>
      </c>
      <c r="N36" s="15" t="s">
        <v>64</v>
      </c>
    </row>
    <row r="37" customFormat="false" ht="23.85" hidden="false" customHeight="false" outlineLevel="0" collapsed="false">
      <c r="A37" s="10" t="n">
        <v>33</v>
      </c>
      <c r="B37" s="11" t="s">
        <v>196</v>
      </c>
      <c r="C37" s="12" t="s">
        <v>284</v>
      </c>
      <c r="D37" s="11" t="s">
        <v>285</v>
      </c>
      <c r="E37" s="13" t="n">
        <v>60</v>
      </c>
      <c r="F37" s="13" t="n">
        <v>120</v>
      </c>
      <c r="G37" s="11" t="s">
        <v>286</v>
      </c>
      <c r="H37" s="11" t="s">
        <v>287</v>
      </c>
      <c r="I37" s="11" t="s">
        <v>288</v>
      </c>
      <c r="J37" s="11" t="s">
        <v>289</v>
      </c>
      <c r="K37" s="11" t="s">
        <v>170</v>
      </c>
      <c r="L37" s="14" t="s">
        <v>62</v>
      </c>
      <c r="M37" s="11" t="s">
        <v>148</v>
      </c>
      <c r="N37" s="15" t="s">
        <v>64</v>
      </c>
    </row>
    <row r="38" customFormat="false" ht="35.05" hidden="false" customHeight="false" outlineLevel="0" collapsed="false">
      <c r="A38" s="10" t="n">
        <v>34</v>
      </c>
      <c r="B38" s="11" t="s">
        <v>290</v>
      </c>
      <c r="C38" s="12" t="s">
        <v>291</v>
      </c>
      <c r="D38" s="11" t="s">
        <v>107</v>
      </c>
      <c r="E38" s="13" t="n">
        <v>900</v>
      </c>
      <c r="F38" s="13" t="n">
        <v>1800</v>
      </c>
      <c r="G38" s="11" t="s">
        <v>292</v>
      </c>
      <c r="H38" s="11" t="s">
        <v>293</v>
      </c>
      <c r="I38" s="11" t="s">
        <v>294</v>
      </c>
      <c r="J38" s="11" t="s">
        <v>295</v>
      </c>
      <c r="K38" s="11" t="s">
        <v>296</v>
      </c>
      <c r="L38" s="14" t="s">
        <v>62</v>
      </c>
      <c r="M38" s="11" t="s">
        <v>297</v>
      </c>
      <c r="N38" s="11" t="s">
        <v>93</v>
      </c>
    </row>
    <row r="39" customFormat="false" ht="35.05" hidden="false" customHeight="false" outlineLevel="0" collapsed="false">
      <c r="A39" s="10" t="n">
        <v>35</v>
      </c>
      <c r="B39" s="11" t="s">
        <v>290</v>
      </c>
      <c r="C39" s="12" t="s">
        <v>298</v>
      </c>
      <c r="D39" s="11" t="s">
        <v>56</v>
      </c>
      <c r="E39" s="13" t="n">
        <v>450</v>
      </c>
      <c r="F39" s="13" t="n">
        <v>900</v>
      </c>
      <c r="G39" s="11" t="s">
        <v>299</v>
      </c>
      <c r="H39" s="11" t="s">
        <v>300</v>
      </c>
      <c r="I39" s="11" t="s">
        <v>301</v>
      </c>
      <c r="J39" s="11" t="s">
        <v>302</v>
      </c>
      <c r="K39" s="11" t="s">
        <v>303</v>
      </c>
      <c r="L39" s="14" t="s">
        <v>62</v>
      </c>
      <c r="M39" s="11" t="s">
        <v>297</v>
      </c>
      <c r="N39" s="11" t="s">
        <v>93</v>
      </c>
    </row>
    <row r="40" customFormat="false" ht="23.85" hidden="false" customHeight="false" outlineLevel="0" collapsed="false">
      <c r="A40" s="10" t="n">
        <v>36</v>
      </c>
      <c r="B40" s="11" t="s">
        <v>290</v>
      </c>
      <c r="C40" s="12" t="s">
        <v>304</v>
      </c>
      <c r="D40" s="11" t="s">
        <v>305</v>
      </c>
      <c r="E40" s="13" t="n">
        <v>700</v>
      </c>
      <c r="F40" s="13" t="n">
        <v>1000</v>
      </c>
      <c r="G40" s="11" t="s">
        <v>306</v>
      </c>
      <c r="H40" s="11" t="s">
        <v>307</v>
      </c>
      <c r="I40" s="11" t="s">
        <v>308</v>
      </c>
      <c r="J40" s="11" t="s">
        <v>309</v>
      </c>
      <c r="K40" s="11" t="s">
        <v>310</v>
      </c>
      <c r="L40" s="14" t="s">
        <v>62</v>
      </c>
      <c r="M40" s="11" t="s">
        <v>311</v>
      </c>
      <c r="N40" s="15" t="s">
        <v>64</v>
      </c>
    </row>
    <row r="41" customFormat="false" ht="23.85" hidden="false" customHeight="false" outlineLevel="0" collapsed="false">
      <c r="A41" s="10" t="n">
        <v>37</v>
      </c>
      <c r="B41" s="11" t="s">
        <v>290</v>
      </c>
      <c r="C41" s="12" t="s">
        <v>312</v>
      </c>
      <c r="D41" s="11" t="s">
        <v>270</v>
      </c>
      <c r="E41" s="13" t="n">
        <v>150</v>
      </c>
      <c r="F41" s="13" t="n">
        <v>220</v>
      </c>
      <c r="G41" s="11" t="s">
        <v>313</v>
      </c>
      <c r="H41" s="11" t="s">
        <v>314</v>
      </c>
      <c r="I41" s="11" t="s">
        <v>315</v>
      </c>
      <c r="J41" s="11" t="s">
        <v>316</v>
      </c>
      <c r="K41" s="11" t="s">
        <v>317</v>
      </c>
      <c r="L41" s="14" t="s">
        <v>62</v>
      </c>
      <c r="M41" s="11" t="s">
        <v>311</v>
      </c>
      <c r="N41" s="15" t="s">
        <v>64</v>
      </c>
    </row>
    <row r="42" customFormat="false" ht="35.05" hidden="false" customHeight="false" outlineLevel="0" collapsed="false">
      <c r="A42" s="10" t="n">
        <v>38</v>
      </c>
      <c r="B42" s="11" t="s">
        <v>318</v>
      </c>
      <c r="C42" s="12" t="s">
        <v>319</v>
      </c>
      <c r="D42" s="11" t="s">
        <v>107</v>
      </c>
      <c r="E42" s="13" t="n">
        <v>440</v>
      </c>
      <c r="F42" s="13" t="n">
        <v>560</v>
      </c>
      <c r="G42" s="11" t="s">
        <v>320</v>
      </c>
      <c r="H42" s="11" t="s">
        <v>321</v>
      </c>
      <c r="I42" s="11" t="s">
        <v>322</v>
      </c>
      <c r="J42" s="11" t="s">
        <v>323</v>
      </c>
      <c r="K42" s="11" t="s">
        <v>324</v>
      </c>
      <c r="L42" s="14" t="s">
        <v>62</v>
      </c>
      <c r="M42" s="11" t="s">
        <v>325</v>
      </c>
      <c r="N42" s="11" t="s">
        <v>93</v>
      </c>
    </row>
    <row r="43" customFormat="false" ht="23.85" hidden="false" customHeight="false" outlineLevel="0" collapsed="false">
      <c r="A43" s="10" t="n">
        <v>39</v>
      </c>
      <c r="B43" s="11" t="s">
        <v>318</v>
      </c>
      <c r="C43" s="12" t="s">
        <v>326</v>
      </c>
      <c r="D43" s="11" t="s">
        <v>56</v>
      </c>
      <c r="E43" s="13" t="n">
        <v>200</v>
      </c>
      <c r="F43" s="13" t="n">
        <v>280</v>
      </c>
      <c r="G43" s="11" t="s">
        <v>327</v>
      </c>
      <c r="H43" s="11" t="s">
        <v>328</v>
      </c>
      <c r="I43" s="11" t="s">
        <v>329</v>
      </c>
      <c r="J43" s="11" t="s">
        <v>330</v>
      </c>
      <c r="K43" s="11" t="s">
        <v>331</v>
      </c>
      <c r="L43" s="14" t="s">
        <v>62</v>
      </c>
      <c r="M43" s="11" t="s">
        <v>105</v>
      </c>
      <c r="N43" s="11" t="s">
        <v>93</v>
      </c>
    </row>
    <row r="44" customFormat="false" ht="35.05" hidden="false" customHeight="false" outlineLevel="0" collapsed="false">
      <c r="A44" s="10" t="n">
        <v>40</v>
      </c>
      <c r="B44" s="11" t="s">
        <v>318</v>
      </c>
      <c r="C44" s="12" t="s">
        <v>332</v>
      </c>
      <c r="D44" s="11" t="s">
        <v>285</v>
      </c>
      <c r="E44" s="13" t="n">
        <v>360</v>
      </c>
      <c r="F44" s="13" t="n">
        <v>480</v>
      </c>
      <c r="G44" s="11" t="s">
        <v>333</v>
      </c>
      <c r="H44" s="11" t="s">
        <v>334</v>
      </c>
      <c r="I44" s="11" t="s">
        <v>335</v>
      </c>
      <c r="J44" s="11" t="s">
        <v>336</v>
      </c>
      <c r="K44" s="11" t="s">
        <v>337</v>
      </c>
      <c r="L44" s="14" t="s">
        <v>62</v>
      </c>
      <c r="M44" s="11" t="s">
        <v>71</v>
      </c>
      <c r="N44" s="11" t="s">
        <v>93</v>
      </c>
    </row>
    <row r="45" customFormat="false" ht="23.85" hidden="false" customHeight="false" outlineLevel="0" collapsed="false">
      <c r="A45" s="10" t="n">
        <v>41</v>
      </c>
      <c r="B45" s="11" t="s">
        <v>318</v>
      </c>
      <c r="C45" s="12" t="s">
        <v>338</v>
      </c>
      <c r="D45" s="11" t="s">
        <v>56</v>
      </c>
      <c r="E45" s="13" t="n">
        <v>180</v>
      </c>
      <c r="F45" s="13" t="n">
        <v>240</v>
      </c>
      <c r="G45" s="11" t="s">
        <v>339</v>
      </c>
      <c r="H45" s="11" t="s">
        <v>340</v>
      </c>
      <c r="I45" s="11" t="s">
        <v>329</v>
      </c>
      <c r="J45" s="11" t="s">
        <v>341</v>
      </c>
      <c r="K45" s="11" t="s">
        <v>342</v>
      </c>
      <c r="L45" s="14" t="s">
        <v>62</v>
      </c>
      <c r="M45" s="11" t="s">
        <v>71</v>
      </c>
      <c r="N45" s="11" t="s">
        <v>93</v>
      </c>
    </row>
    <row r="46" customFormat="false" ht="23.85" hidden="false" customHeight="false" outlineLevel="0" collapsed="false">
      <c r="A46" s="10" t="n">
        <v>42</v>
      </c>
      <c r="B46" s="11" t="s">
        <v>318</v>
      </c>
      <c r="C46" s="12" t="s">
        <v>343</v>
      </c>
      <c r="D46" s="11" t="s">
        <v>285</v>
      </c>
      <c r="E46" s="13" t="n">
        <v>600</v>
      </c>
      <c r="F46" s="13" t="n">
        <v>900</v>
      </c>
      <c r="G46" s="11" t="s">
        <v>344</v>
      </c>
      <c r="H46" s="11" t="s">
        <v>345</v>
      </c>
      <c r="I46" s="11" t="s">
        <v>346</v>
      </c>
      <c r="J46" s="11" t="s">
        <v>347</v>
      </c>
      <c r="K46" s="11" t="s">
        <v>348</v>
      </c>
      <c r="L46" s="14" t="s">
        <v>62</v>
      </c>
      <c r="M46" s="11" t="s">
        <v>71</v>
      </c>
      <c r="N46" s="16" t="s">
        <v>349</v>
      </c>
    </row>
    <row r="47" customFormat="false" ht="23.85" hidden="false" customHeight="false" outlineLevel="0" collapsed="false">
      <c r="A47" s="10" t="n">
        <v>43</v>
      </c>
      <c r="B47" s="11" t="s">
        <v>318</v>
      </c>
      <c r="C47" s="12" t="s">
        <v>350</v>
      </c>
      <c r="D47" s="11" t="s">
        <v>142</v>
      </c>
      <c r="E47" s="13" t="n">
        <v>10</v>
      </c>
      <c r="F47" s="13" t="n">
        <v>20</v>
      </c>
      <c r="G47" s="11" t="s">
        <v>351</v>
      </c>
      <c r="H47" s="11" t="s">
        <v>352</v>
      </c>
      <c r="I47" s="11" t="s">
        <v>353</v>
      </c>
      <c r="J47" s="11" t="s">
        <v>354</v>
      </c>
      <c r="K47" s="11" t="s">
        <v>355</v>
      </c>
      <c r="L47" s="14" t="s">
        <v>62</v>
      </c>
      <c r="M47" s="11" t="s">
        <v>163</v>
      </c>
      <c r="N47" s="11" t="s">
        <v>93</v>
      </c>
    </row>
    <row r="48" customFormat="false" ht="23.85" hidden="false" customHeight="false" outlineLevel="0" collapsed="false">
      <c r="A48" s="10" t="n">
        <v>44</v>
      </c>
      <c r="B48" s="11" t="s">
        <v>318</v>
      </c>
      <c r="C48" s="12" t="s">
        <v>356</v>
      </c>
      <c r="D48" s="11" t="s">
        <v>56</v>
      </c>
      <c r="E48" s="13" t="n">
        <v>120</v>
      </c>
      <c r="F48" s="13" t="n">
        <v>160</v>
      </c>
      <c r="G48" s="11" t="s">
        <v>357</v>
      </c>
      <c r="H48" s="11" t="s">
        <v>358</v>
      </c>
      <c r="I48" s="11" t="s">
        <v>359</v>
      </c>
      <c r="J48" s="11" t="s">
        <v>360</v>
      </c>
      <c r="K48" s="11" t="s">
        <v>361</v>
      </c>
      <c r="L48" s="14" t="s">
        <v>62</v>
      </c>
      <c r="M48" s="11" t="s">
        <v>148</v>
      </c>
      <c r="N48" s="15" t="s">
        <v>64</v>
      </c>
    </row>
    <row r="49" customFormat="false" ht="23.85" hidden="false" customHeight="false" outlineLevel="0" collapsed="false">
      <c r="A49" s="10" t="n">
        <v>45</v>
      </c>
      <c r="B49" s="11" t="s">
        <v>318</v>
      </c>
      <c r="C49" s="12" t="s">
        <v>362</v>
      </c>
      <c r="D49" s="11" t="s">
        <v>56</v>
      </c>
      <c r="E49" s="13" t="n">
        <v>350</v>
      </c>
      <c r="F49" s="13" t="n">
        <v>500</v>
      </c>
      <c r="G49" s="11" t="s">
        <v>363</v>
      </c>
      <c r="H49" s="11" t="s">
        <v>364</v>
      </c>
      <c r="I49" s="11" t="s">
        <v>365</v>
      </c>
      <c r="J49" s="11" t="s">
        <v>366</v>
      </c>
      <c r="K49" s="11" t="s">
        <v>367</v>
      </c>
      <c r="L49" s="14" t="s">
        <v>62</v>
      </c>
      <c r="M49" s="11" t="s">
        <v>368</v>
      </c>
      <c r="N49" s="11" t="s">
        <v>93</v>
      </c>
    </row>
    <row r="50" customFormat="false" ht="23.85" hidden="false" customHeight="false" outlineLevel="0" collapsed="false">
      <c r="A50" s="10" t="n">
        <v>46</v>
      </c>
      <c r="B50" s="11" t="s">
        <v>318</v>
      </c>
      <c r="C50" s="12" t="s">
        <v>369</v>
      </c>
      <c r="D50" s="11" t="s">
        <v>56</v>
      </c>
      <c r="E50" s="13" t="n">
        <v>80</v>
      </c>
      <c r="F50" s="13" t="n">
        <v>120</v>
      </c>
      <c r="G50" s="11" t="s">
        <v>370</v>
      </c>
      <c r="H50" s="11" t="s">
        <v>371</v>
      </c>
      <c r="I50" s="11" t="s">
        <v>329</v>
      </c>
      <c r="J50" s="11" t="s">
        <v>372</v>
      </c>
      <c r="K50" s="11" t="s">
        <v>373</v>
      </c>
      <c r="L50" s="14" t="s">
        <v>62</v>
      </c>
      <c r="M50" s="11" t="s">
        <v>71</v>
      </c>
      <c r="N50" s="11" t="s">
        <v>93</v>
      </c>
    </row>
    <row r="51" customFormat="false" ht="35.05" hidden="false" customHeight="false" outlineLevel="0" collapsed="false">
      <c r="A51" s="10" t="n">
        <v>47</v>
      </c>
      <c r="B51" s="11" t="s">
        <v>318</v>
      </c>
      <c r="C51" s="12" t="s">
        <v>374</v>
      </c>
      <c r="D51" s="11" t="s">
        <v>56</v>
      </c>
      <c r="E51" s="13" t="n">
        <v>180</v>
      </c>
      <c r="F51" s="13" t="n">
        <v>260</v>
      </c>
      <c r="G51" s="11" t="s">
        <v>375</v>
      </c>
      <c r="H51" s="11" t="s">
        <v>376</v>
      </c>
      <c r="I51" s="11" t="s">
        <v>377</v>
      </c>
      <c r="J51" s="11" t="s">
        <v>378</v>
      </c>
      <c r="K51" s="11" t="s">
        <v>379</v>
      </c>
      <c r="L51" s="14" t="s">
        <v>62</v>
      </c>
      <c r="M51" s="11" t="s">
        <v>71</v>
      </c>
      <c r="N51" s="11" t="s">
        <v>93</v>
      </c>
    </row>
    <row r="52" customFormat="false" ht="23.85" hidden="false" customHeight="false" outlineLevel="0" collapsed="false">
      <c r="A52" s="10" t="n">
        <v>48</v>
      </c>
      <c r="B52" s="11" t="s">
        <v>318</v>
      </c>
      <c r="C52" s="12" t="s">
        <v>380</v>
      </c>
      <c r="D52" s="11" t="s">
        <v>285</v>
      </c>
      <c r="E52" s="13" t="n">
        <v>100</v>
      </c>
      <c r="F52" s="13" t="n">
        <v>160</v>
      </c>
      <c r="G52" s="11" t="s">
        <v>381</v>
      </c>
      <c r="H52" s="11" t="s">
        <v>382</v>
      </c>
      <c r="I52" s="11" t="s">
        <v>383</v>
      </c>
      <c r="J52" s="11" t="s">
        <v>384</v>
      </c>
      <c r="K52" s="11" t="s">
        <v>385</v>
      </c>
      <c r="L52" s="14" t="s">
        <v>62</v>
      </c>
      <c r="M52" s="11" t="s">
        <v>386</v>
      </c>
      <c r="N52" s="15" t="s">
        <v>64</v>
      </c>
    </row>
    <row r="53" customFormat="false" ht="35.05" hidden="false" customHeight="false" outlineLevel="0" collapsed="false">
      <c r="A53" s="10" t="n">
        <v>49</v>
      </c>
      <c r="B53" s="11" t="s">
        <v>318</v>
      </c>
      <c r="C53" s="12" t="s">
        <v>387</v>
      </c>
      <c r="D53" s="11" t="s">
        <v>285</v>
      </c>
      <c r="E53" s="13" t="n">
        <v>40</v>
      </c>
      <c r="F53" s="13" t="n">
        <v>60</v>
      </c>
      <c r="G53" s="11" t="s">
        <v>388</v>
      </c>
      <c r="H53" s="11" t="s">
        <v>389</v>
      </c>
      <c r="I53" s="11" t="s">
        <v>390</v>
      </c>
      <c r="J53" s="11" t="s">
        <v>391</v>
      </c>
      <c r="K53" s="11" t="s">
        <v>392</v>
      </c>
      <c r="L53" s="14" t="s">
        <v>62</v>
      </c>
      <c r="M53" s="11" t="s">
        <v>393</v>
      </c>
      <c r="N53" s="11" t="s">
        <v>93</v>
      </c>
    </row>
    <row r="54" customFormat="false" ht="23.85" hidden="false" customHeight="false" outlineLevel="0" collapsed="false">
      <c r="A54" s="10" t="n">
        <v>50</v>
      </c>
      <c r="B54" s="11" t="s">
        <v>318</v>
      </c>
      <c r="C54" s="12" t="s">
        <v>394</v>
      </c>
      <c r="D54" s="11" t="s">
        <v>395</v>
      </c>
      <c r="E54" s="13" t="n">
        <v>250</v>
      </c>
      <c r="F54" s="13" t="n">
        <v>350</v>
      </c>
      <c r="G54" s="11" t="s">
        <v>396</v>
      </c>
      <c r="H54" s="11" t="s">
        <v>397</v>
      </c>
      <c r="I54" s="11" t="s">
        <v>398</v>
      </c>
      <c r="J54" s="11" t="s">
        <v>399</v>
      </c>
      <c r="K54" s="11" t="s">
        <v>400</v>
      </c>
      <c r="L54" s="14" t="s">
        <v>62</v>
      </c>
      <c r="M54" s="11" t="s">
        <v>393</v>
      </c>
      <c r="N54" s="16" t="s">
        <v>114</v>
      </c>
    </row>
    <row r="55" customFormat="false" ht="23.85" hidden="false" customHeight="false" outlineLevel="0" collapsed="false">
      <c r="A55" s="10" t="n">
        <v>51</v>
      </c>
      <c r="B55" s="11" t="s">
        <v>318</v>
      </c>
      <c r="C55" s="12" t="s">
        <v>401</v>
      </c>
      <c r="D55" s="11" t="s">
        <v>285</v>
      </c>
      <c r="E55" s="13" t="n">
        <v>50</v>
      </c>
      <c r="F55" s="13" t="n">
        <v>80</v>
      </c>
      <c r="G55" s="11" t="s">
        <v>402</v>
      </c>
      <c r="H55" s="11" t="s">
        <v>403</v>
      </c>
      <c r="I55" s="11" t="s">
        <v>404</v>
      </c>
      <c r="J55" s="11" t="s">
        <v>405</v>
      </c>
      <c r="K55" s="11" t="s">
        <v>406</v>
      </c>
      <c r="L55" s="14" t="s">
        <v>62</v>
      </c>
      <c r="M55" s="11" t="s">
        <v>407</v>
      </c>
      <c r="N55" s="11" t="s">
        <v>93</v>
      </c>
    </row>
    <row r="56" customFormat="false" ht="23.85" hidden="false" customHeight="false" outlineLevel="0" collapsed="false">
      <c r="A56" s="10" t="n">
        <v>52</v>
      </c>
      <c r="B56" s="11" t="s">
        <v>318</v>
      </c>
      <c r="C56" s="12" t="s">
        <v>408</v>
      </c>
      <c r="D56" s="11" t="s">
        <v>56</v>
      </c>
      <c r="E56" s="13" t="n">
        <v>60</v>
      </c>
      <c r="F56" s="13" t="n">
        <v>90</v>
      </c>
      <c r="G56" s="11" t="s">
        <v>409</v>
      </c>
      <c r="H56" s="11" t="s">
        <v>410</v>
      </c>
      <c r="I56" s="11" t="s">
        <v>411</v>
      </c>
      <c r="J56" s="11" t="s">
        <v>412</v>
      </c>
      <c r="K56" s="11" t="s">
        <v>170</v>
      </c>
      <c r="L56" s="14" t="s">
        <v>62</v>
      </c>
      <c r="M56" s="11" t="s">
        <v>413</v>
      </c>
      <c r="N56" s="16" t="s">
        <v>114</v>
      </c>
    </row>
    <row r="57" customFormat="false" ht="23.85" hidden="false" customHeight="false" outlineLevel="0" collapsed="false">
      <c r="A57" s="10" t="n">
        <v>53</v>
      </c>
      <c r="B57" s="11" t="s">
        <v>318</v>
      </c>
      <c r="C57" s="12" t="s">
        <v>414</v>
      </c>
      <c r="D57" s="11" t="s">
        <v>56</v>
      </c>
      <c r="E57" s="13" t="n">
        <v>250</v>
      </c>
      <c r="F57" s="13" t="n">
        <v>400</v>
      </c>
      <c r="G57" s="11" t="s">
        <v>415</v>
      </c>
      <c r="H57" s="11" t="s">
        <v>416</v>
      </c>
      <c r="I57" s="11" t="s">
        <v>417</v>
      </c>
      <c r="J57" s="11" t="s">
        <v>418</v>
      </c>
      <c r="K57" s="11" t="s">
        <v>419</v>
      </c>
      <c r="L57" s="14" t="s">
        <v>62</v>
      </c>
      <c r="M57" s="11" t="s">
        <v>148</v>
      </c>
      <c r="N57" s="11" t="s">
        <v>93</v>
      </c>
    </row>
    <row r="58" customFormat="false" ht="15" hidden="false" customHeight="false" outlineLevel="0" collapsed="false">
      <c r="A58" s="10" t="n">
        <v>54</v>
      </c>
      <c r="B58" s="11" t="s">
        <v>318</v>
      </c>
      <c r="C58" s="12" t="s">
        <v>420</v>
      </c>
      <c r="D58" s="11" t="s">
        <v>121</v>
      </c>
      <c r="E58" s="13" t="n">
        <v>70</v>
      </c>
      <c r="F58" s="13" t="n">
        <v>100</v>
      </c>
      <c r="G58" s="11" t="s">
        <v>421</v>
      </c>
      <c r="H58" s="11" t="s">
        <v>422</v>
      </c>
      <c r="I58" s="11" t="s">
        <v>423</v>
      </c>
      <c r="J58" s="11" t="s">
        <v>424</v>
      </c>
      <c r="K58" s="11" t="s">
        <v>170</v>
      </c>
      <c r="L58" s="14" t="s">
        <v>62</v>
      </c>
      <c r="M58" s="11" t="s">
        <v>148</v>
      </c>
      <c r="N58" s="11" t="s">
        <v>93</v>
      </c>
    </row>
    <row r="59" customFormat="false" ht="23.85" hidden="false" customHeight="false" outlineLevel="0" collapsed="false">
      <c r="A59" s="10" t="n">
        <v>55</v>
      </c>
      <c r="B59" s="11" t="s">
        <v>318</v>
      </c>
      <c r="C59" s="12" t="s">
        <v>425</v>
      </c>
      <c r="D59" s="11" t="s">
        <v>285</v>
      </c>
      <c r="E59" s="13" t="n">
        <v>40</v>
      </c>
      <c r="F59" s="13" t="n">
        <v>80</v>
      </c>
      <c r="G59" s="11" t="s">
        <v>426</v>
      </c>
      <c r="H59" s="11" t="s">
        <v>427</v>
      </c>
      <c r="I59" s="11" t="s">
        <v>428</v>
      </c>
      <c r="J59" s="11" t="s">
        <v>429</v>
      </c>
      <c r="K59" s="11" t="s">
        <v>430</v>
      </c>
      <c r="L59" s="14" t="s">
        <v>62</v>
      </c>
      <c r="M59" s="11" t="s">
        <v>413</v>
      </c>
      <c r="N59" s="15" t="s">
        <v>64</v>
      </c>
    </row>
    <row r="60" customFormat="false" ht="35.05" hidden="false" customHeight="false" outlineLevel="0" collapsed="false">
      <c r="A60" s="10" t="n">
        <v>56</v>
      </c>
      <c r="B60" s="11" t="s">
        <v>431</v>
      </c>
      <c r="C60" s="12" t="s">
        <v>432</v>
      </c>
      <c r="D60" s="11" t="s">
        <v>190</v>
      </c>
      <c r="E60" s="13" t="n">
        <v>970</v>
      </c>
      <c r="F60" s="13" t="n">
        <v>1610</v>
      </c>
      <c r="G60" s="11" t="s">
        <v>433</v>
      </c>
      <c r="H60" s="11" t="s">
        <v>434</v>
      </c>
      <c r="I60" s="11" t="s">
        <v>435</v>
      </c>
      <c r="J60" s="11" t="s">
        <v>436</v>
      </c>
      <c r="K60" s="11" t="s">
        <v>437</v>
      </c>
      <c r="L60" s="14" t="s">
        <v>62</v>
      </c>
      <c r="M60" s="11" t="s">
        <v>438</v>
      </c>
      <c r="N60" s="11" t="s">
        <v>149</v>
      </c>
    </row>
    <row r="61" customFormat="false" ht="23.85" hidden="false" customHeight="false" outlineLevel="0" collapsed="false">
      <c r="A61" s="10" t="n">
        <v>57</v>
      </c>
      <c r="B61" s="11" t="s">
        <v>431</v>
      </c>
      <c r="C61" s="12" t="s">
        <v>439</v>
      </c>
      <c r="D61" s="11" t="s">
        <v>56</v>
      </c>
      <c r="E61" s="13" t="n">
        <v>280</v>
      </c>
      <c r="F61" s="13" t="n">
        <v>420</v>
      </c>
      <c r="G61" s="11" t="s">
        <v>440</v>
      </c>
      <c r="H61" s="11" t="s">
        <v>441</v>
      </c>
      <c r="I61" s="11" t="s">
        <v>442</v>
      </c>
      <c r="J61" s="11" t="s">
        <v>443</v>
      </c>
      <c r="K61" s="11" t="s">
        <v>444</v>
      </c>
      <c r="L61" s="14" t="s">
        <v>62</v>
      </c>
      <c r="M61" s="11" t="s">
        <v>105</v>
      </c>
      <c r="N61" s="16" t="s">
        <v>445</v>
      </c>
    </row>
    <row r="62" customFormat="false" ht="23.85" hidden="false" customHeight="false" outlineLevel="0" collapsed="false">
      <c r="A62" s="10" t="n">
        <v>58</v>
      </c>
      <c r="B62" s="11" t="s">
        <v>431</v>
      </c>
      <c r="C62" s="12" t="s">
        <v>446</v>
      </c>
      <c r="D62" s="11" t="s">
        <v>56</v>
      </c>
      <c r="E62" s="13" t="n">
        <v>160</v>
      </c>
      <c r="F62" s="13" t="n">
        <v>220</v>
      </c>
      <c r="G62" s="11" t="s">
        <v>447</v>
      </c>
      <c r="H62" s="11" t="s">
        <v>448</v>
      </c>
      <c r="I62" s="11" t="s">
        <v>449</v>
      </c>
      <c r="J62" s="11" t="s">
        <v>450</v>
      </c>
      <c r="K62" s="11" t="s">
        <v>170</v>
      </c>
      <c r="L62" s="14" t="s">
        <v>62</v>
      </c>
      <c r="M62" s="11" t="s">
        <v>71</v>
      </c>
      <c r="N62" s="11" t="s">
        <v>93</v>
      </c>
    </row>
    <row r="63" customFormat="false" ht="23.85" hidden="false" customHeight="false" outlineLevel="0" collapsed="false">
      <c r="A63" s="10" t="n">
        <v>59</v>
      </c>
      <c r="B63" s="11" t="s">
        <v>431</v>
      </c>
      <c r="C63" s="12" t="s">
        <v>451</v>
      </c>
      <c r="D63" s="11" t="s">
        <v>56</v>
      </c>
      <c r="E63" s="13" t="n">
        <v>35</v>
      </c>
      <c r="F63" s="13" t="n">
        <v>60</v>
      </c>
      <c r="G63" s="11" t="s">
        <v>452</v>
      </c>
      <c r="H63" s="11" t="s">
        <v>453</v>
      </c>
      <c r="I63" s="11" t="s">
        <v>454</v>
      </c>
      <c r="J63" s="11" t="s">
        <v>455</v>
      </c>
      <c r="K63" s="11" t="s">
        <v>170</v>
      </c>
      <c r="L63" s="14" t="s">
        <v>62</v>
      </c>
      <c r="M63" s="11" t="s">
        <v>456</v>
      </c>
      <c r="N63" s="11" t="s">
        <v>93</v>
      </c>
    </row>
    <row r="64" customFormat="false" ht="23.85" hidden="false" customHeight="false" outlineLevel="0" collapsed="false">
      <c r="A64" s="10" t="n">
        <v>60</v>
      </c>
      <c r="B64" s="11" t="s">
        <v>431</v>
      </c>
      <c r="C64" s="12" t="s">
        <v>457</v>
      </c>
      <c r="D64" s="11" t="s">
        <v>56</v>
      </c>
      <c r="E64" s="13" t="n">
        <v>200</v>
      </c>
      <c r="F64" s="13" t="n">
        <v>280</v>
      </c>
      <c r="G64" s="11" t="s">
        <v>458</v>
      </c>
      <c r="H64" s="11" t="s">
        <v>459</v>
      </c>
      <c r="I64" s="11" t="s">
        <v>329</v>
      </c>
      <c r="J64" s="11" t="s">
        <v>460</v>
      </c>
      <c r="K64" s="11" t="s">
        <v>461</v>
      </c>
      <c r="L64" s="14" t="s">
        <v>62</v>
      </c>
      <c r="M64" s="11" t="s">
        <v>105</v>
      </c>
      <c r="N64" s="11" t="s">
        <v>93</v>
      </c>
    </row>
  </sheetData>
  <autoFilter ref="A4:N64"/>
  <hyperlinks>
    <hyperlink ref="L5" r:id="rId1" display="Amazon.in search"/>
    <hyperlink ref="L6" r:id="rId2" display="Amazon.in search"/>
    <hyperlink ref="L7" r:id="rId3" display="Amazon.in search"/>
    <hyperlink ref="L8" r:id="rId4" display="Amazon.in search"/>
    <hyperlink ref="L9" r:id="rId5" display="Amazon.in search"/>
    <hyperlink ref="L10" r:id="rId6" display="Amazon.in search"/>
    <hyperlink ref="L11" r:id="rId7" display="Amazon.in search"/>
    <hyperlink ref="L12" r:id="rId8" display="Amazon.in search"/>
    <hyperlink ref="L13" r:id="rId9" display="Amazon.in search"/>
    <hyperlink ref="L14" r:id="rId10" display="Amazon.in search"/>
    <hyperlink ref="L15" r:id="rId11" display="Amazon.in search"/>
    <hyperlink ref="L16" r:id="rId12" display="Amazon.in search"/>
    <hyperlink ref="L17" r:id="rId13" display="Amazon.in search"/>
    <hyperlink ref="L18" r:id="rId14" display="Amazon.in search"/>
    <hyperlink ref="L19" r:id="rId15" display="Amazon.in search"/>
    <hyperlink ref="L20" r:id="rId16" display="Amazon.in search"/>
    <hyperlink ref="L21" r:id="rId17" display="Amazon.in search"/>
    <hyperlink ref="L22" r:id="rId18" display="Amazon.in search"/>
    <hyperlink ref="L23" r:id="rId19" display="Amazon.in search"/>
    <hyperlink ref="L24" r:id="rId20" display="Amazon.in search"/>
    <hyperlink ref="L25" r:id="rId21" display="Amazon.in search"/>
    <hyperlink ref="L26" r:id="rId22" display="Amazon.in search"/>
    <hyperlink ref="L27" r:id="rId23" display="Amazon.in search"/>
    <hyperlink ref="L28" r:id="rId24" display="Amazon.in search"/>
    <hyperlink ref="L29" r:id="rId25" display="Amazon.in search"/>
    <hyperlink ref="L30" r:id="rId26" display="Amazon.in search"/>
    <hyperlink ref="L31" r:id="rId27" display="Amazon.in search"/>
    <hyperlink ref="L32" r:id="rId28" display="Amazon.in search"/>
    <hyperlink ref="L33" r:id="rId29" display="Amazon.in search"/>
    <hyperlink ref="L34" r:id="rId30" display="Amazon.in search"/>
    <hyperlink ref="L35" r:id="rId31" display="Amazon.in search"/>
    <hyperlink ref="L36" r:id="rId32" display="Amazon.in search"/>
    <hyperlink ref="L37" r:id="rId33" display="Amazon.in search"/>
    <hyperlink ref="L38" r:id="rId34" display="Amazon.in search"/>
    <hyperlink ref="L39" r:id="rId35" display="Amazon.in search"/>
    <hyperlink ref="L40" r:id="rId36" display="Amazon.in search"/>
    <hyperlink ref="L41" r:id="rId37" display="Amazon.in search"/>
    <hyperlink ref="L42" r:id="rId38" display="Amazon.in search"/>
    <hyperlink ref="L43" r:id="rId39" display="Amazon.in search"/>
    <hyperlink ref="L44" r:id="rId40" display="Amazon.in search"/>
    <hyperlink ref="L45" r:id="rId41" display="Amazon.in search"/>
    <hyperlink ref="L46" r:id="rId42" display="Amazon.in search"/>
    <hyperlink ref="L47" r:id="rId43" display="Amazon.in search"/>
    <hyperlink ref="L48" r:id="rId44" display="Amazon.in search"/>
    <hyperlink ref="L49" r:id="rId45" display="Amazon.in search"/>
    <hyperlink ref="L50" r:id="rId46" display="Amazon.in search"/>
    <hyperlink ref="L51" r:id="rId47" display="Amazon.in search"/>
    <hyperlink ref="L52" r:id="rId48" display="Amazon.in search"/>
    <hyperlink ref="L53" r:id="rId49" display="Amazon.in search"/>
    <hyperlink ref="L54" r:id="rId50" display="Amazon.in search"/>
    <hyperlink ref="L55" r:id="rId51" display="Amazon.in search"/>
    <hyperlink ref="L56" r:id="rId52" display="Amazon.in search"/>
    <hyperlink ref="L57" r:id="rId53" display="Amazon.in search"/>
    <hyperlink ref="L58" r:id="rId54" display="Amazon.in search"/>
    <hyperlink ref="L59" r:id="rId55" display="Amazon.in search"/>
    <hyperlink ref="L60" r:id="rId56" display="Amazon.in search"/>
    <hyperlink ref="L61" r:id="rId57" display="Amazon.in search"/>
    <hyperlink ref="L62" r:id="rId58" display="Amazon.in search"/>
    <hyperlink ref="L63" r:id="rId59" display="Amazon.in search"/>
    <hyperlink ref="L64" r:id="rId60" display="Amazon.in 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4" min="3" style="0" width="18"/>
  </cols>
  <sheetData>
    <row r="1" customFormat="false" ht="17.35" hidden="false" customHeight="false" outlineLevel="0" collapsed="false">
      <c r="A1" s="1" t="s">
        <v>462</v>
      </c>
    </row>
    <row r="2" customFormat="false" ht="15" hidden="false" customHeight="false" outlineLevel="0" collapsed="false">
      <c r="A2" s="2" t="s">
        <v>463</v>
      </c>
    </row>
    <row r="4" customFormat="false" ht="15" hidden="false" customHeight="false" outlineLevel="0" collapsed="false">
      <c r="A4" s="9" t="s">
        <v>41</v>
      </c>
      <c r="B4" s="9" t="s">
        <v>464</v>
      </c>
      <c r="C4" s="9" t="s">
        <v>465</v>
      </c>
      <c r="D4" s="9" t="s">
        <v>466</v>
      </c>
    </row>
    <row r="5" customFormat="false" ht="15" hidden="false" customHeight="false" outlineLevel="0" collapsed="false">
      <c r="A5" s="17" t="s">
        <v>54</v>
      </c>
      <c r="B5" s="18" t="n">
        <f aca="false">COUNTIF(BOM!$B$5:$B$64,A5)</f>
        <v>19</v>
      </c>
      <c r="C5" s="18" t="n">
        <f aca="false">SUMIFS(BOM!$E$5:$E$64,BOM!$B$5:$B$64,A5)</f>
        <v>4685</v>
      </c>
      <c r="D5" s="18" t="n">
        <f aca="false">SUMIFS(BOM!$F$5:$F$64,BOM!$B$5:$B$64,A5)</f>
        <v>6725</v>
      </c>
    </row>
    <row r="6" customFormat="false" ht="15" hidden="false" customHeight="false" outlineLevel="0" collapsed="false">
      <c r="A6" s="17" t="s">
        <v>196</v>
      </c>
      <c r="B6" s="18" t="n">
        <f aca="false">COUNTIF(BOM!$B$5:$B$64,A6)</f>
        <v>14</v>
      </c>
      <c r="C6" s="18" t="n">
        <f aca="false">SUMIFS(BOM!$E$5:$E$64,BOM!$B$5:$B$64,A6)</f>
        <v>4480</v>
      </c>
      <c r="D6" s="18" t="n">
        <f aca="false">SUMIFS(BOM!$F$5:$F$64,BOM!$B$5:$B$64,A6)</f>
        <v>7470</v>
      </c>
    </row>
    <row r="7" customFormat="false" ht="15" hidden="false" customHeight="false" outlineLevel="0" collapsed="false">
      <c r="A7" s="17" t="s">
        <v>290</v>
      </c>
      <c r="B7" s="18" t="n">
        <f aca="false">COUNTIF(BOM!$B$5:$B$64,A7)</f>
        <v>4</v>
      </c>
      <c r="C7" s="18" t="n">
        <f aca="false">SUMIFS(BOM!$E$5:$E$64,BOM!$B$5:$B$64,A7)</f>
        <v>2200</v>
      </c>
      <c r="D7" s="18" t="n">
        <f aca="false">SUMIFS(BOM!$F$5:$F$64,BOM!$B$5:$B$64,A7)</f>
        <v>3920</v>
      </c>
    </row>
    <row r="8" customFormat="false" ht="15" hidden="false" customHeight="false" outlineLevel="0" collapsed="false">
      <c r="A8" s="17" t="s">
        <v>318</v>
      </c>
      <c r="B8" s="18" t="n">
        <f aca="false">COUNTIF(BOM!$B$5:$B$64,A8)</f>
        <v>18</v>
      </c>
      <c r="C8" s="18" t="n">
        <f aca="false">SUMIFS(BOM!$E$5:$E$64,BOM!$B$5:$B$64,A8)</f>
        <v>3380</v>
      </c>
      <c r="D8" s="18" t="n">
        <f aca="false">SUMIFS(BOM!$F$5:$F$64,BOM!$B$5:$B$64,A8)</f>
        <v>4840</v>
      </c>
    </row>
    <row r="9" customFormat="false" ht="15" hidden="false" customHeight="false" outlineLevel="0" collapsed="false">
      <c r="A9" s="19" t="s">
        <v>467</v>
      </c>
      <c r="B9" s="20" t="n">
        <f aca="false">SUM(B5:B8)</f>
        <v>55</v>
      </c>
      <c r="C9" s="20" t="n">
        <f aca="false">SUM(C5:C8)</f>
        <v>14745</v>
      </c>
      <c r="D9" s="20" t="n">
        <f aca="false">SUM(D5:D8)</f>
        <v>22955</v>
      </c>
    </row>
    <row r="10" customFormat="false" ht="15" hidden="false" customHeight="false" outlineLevel="0" collapsed="false">
      <c r="A10" s="17" t="s">
        <v>431</v>
      </c>
      <c r="B10" s="18" t="n">
        <f aca="false">COUNTIF(BOM!$B$5:$B$64,A10)</f>
        <v>5</v>
      </c>
      <c r="C10" s="18" t="n">
        <f aca="false">SUMIFS(BOM!$E$5:$E$64,BOM!$B$5:$B$64,A10)</f>
        <v>1645</v>
      </c>
      <c r="D10" s="18" t="n">
        <f aca="false">SUMIFS(BOM!$F$5:$F$64,BOM!$B$5:$B$64,A10)</f>
        <v>2590</v>
      </c>
    </row>
    <row r="11" customFormat="false" ht="15" hidden="false" customHeight="false" outlineLevel="0" collapsed="false">
      <c r="A11" s="19" t="s">
        <v>468</v>
      </c>
      <c r="B11" s="20" t="n">
        <f aca="false">B9+B10</f>
        <v>60</v>
      </c>
      <c r="C11" s="20" t="n">
        <f aca="false">C9+C10</f>
        <v>16390</v>
      </c>
      <c r="D11" s="20" t="n">
        <f aca="false">D9+D10</f>
        <v>25545</v>
      </c>
    </row>
    <row r="12" customFormat="false" ht="15" hidden="false" customHeight="false" outlineLevel="0" collapsed="false">
      <c r="A12" s="21"/>
      <c r="B12" s="22"/>
      <c r="C12" s="22"/>
      <c r="D12" s="22"/>
    </row>
    <row r="13" customFormat="false" ht="15" hidden="false" customHeight="false" outlineLevel="0" collapsed="false">
      <c r="A13" s="17" t="s">
        <v>469</v>
      </c>
      <c r="B13" s="18"/>
      <c r="C13" s="23" t="n">
        <v>0</v>
      </c>
      <c r="D13" s="23" t="n">
        <v>0</v>
      </c>
    </row>
    <row r="14" customFormat="false" ht="15" hidden="false" customHeight="false" outlineLevel="0" collapsed="false">
      <c r="A14" s="19" t="s">
        <v>470</v>
      </c>
      <c r="B14" s="20"/>
      <c r="C14" s="20" t="n">
        <f aca="false">C9-C13</f>
        <v>14745</v>
      </c>
      <c r="D14" s="20" t="n">
        <f aca="false">D9-D13</f>
        <v>22955</v>
      </c>
    </row>
    <row r="15" customFormat="false" ht="15" hidden="false" customHeight="false" outlineLevel="0" collapsed="false">
      <c r="A15" s="19" t="s">
        <v>471</v>
      </c>
      <c r="B15" s="20"/>
      <c r="C15" s="20" t="n">
        <f aca="false">C11-C13</f>
        <v>16390</v>
      </c>
      <c r="D15" s="20" t="n">
        <f aca="false">D11-D13</f>
        <v>25545</v>
      </c>
    </row>
    <row r="16" customFormat="false" ht="15" hidden="false" customHeight="false" outlineLevel="0" collapsed="false">
      <c r="A16" s="2" t="s">
        <v>472</v>
      </c>
    </row>
    <row r="18" customFormat="false" ht="15" hidden="false" customHeight="false" outlineLevel="0" collapsed="false">
      <c r="A18" s="9" t="s">
        <v>53</v>
      </c>
      <c r="B18" s="9" t="s">
        <v>464</v>
      </c>
    </row>
    <row r="19" customFormat="false" ht="15" hidden="false" customHeight="false" outlineLevel="0" collapsed="false">
      <c r="A19" s="17" t="s">
        <v>93</v>
      </c>
      <c r="B19" s="17" t="n">
        <f aca="false">COUNTIF(BOM!$N$5:$N$64,"In cart")</f>
        <v>25</v>
      </c>
    </row>
    <row r="20" customFormat="false" ht="15" hidden="false" customHeight="false" outlineLevel="0" collapsed="false">
      <c r="A20" s="17" t="s">
        <v>473</v>
      </c>
      <c r="B20" s="17" t="n">
        <f aca="false">COUNTIF(BOM!$N$5:$N$64,"In cart*")-COUNTIF(BOM!$N$5:$N$64,"In cart")</f>
        <v>17</v>
      </c>
    </row>
    <row r="21" customFormat="false" ht="15" hidden="false" customHeight="false" outlineLevel="0" collapsed="false">
      <c r="A21" s="17" t="s">
        <v>149</v>
      </c>
      <c r="B21" s="17" t="n">
        <f aca="false">COUNTIF(BOM!$N$5:$N$64,"Partly*")</f>
        <v>3</v>
      </c>
    </row>
    <row r="22" customFormat="false" ht="15" hidden="false" customHeight="false" outlineLevel="0" collapsed="false">
      <c r="A22" s="17" t="s">
        <v>64</v>
      </c>
      <c r="B22" s="17" t="n">
        <f aca="false">COUNTIF(BOM!$N$5:$N$64,"Missing*")</f>
        <v>15</v>
      </c>
    </row>
    <row r="23" customFormat="false" ht="15" hidden="false" customHeight="false" outlineLevel="0" collapsed="false">
      <c r="A23" s="24" t="s">
        <v>474</v>
      </c>
      <c r="B23" s="24" t="n">
        <f aca="false">SUM(B19:B22)</f>
        <v>60</v>
      </c>
    </row>
    <row r="25" customFormat="false" ht="15" hidden="false" customHeight="false" outlineLevel="0" collapsed="false">
      <c r="A25" s="2" t="s">
        <v>475</v>
      </c>
      <c r="B25" s="5" t="str">
        <f aca="false">IF(B23=B11,"OK","MISMATCH")</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52"/>
    <col collapsed="false" customWidth="true" hidden="false" outlineLevel="0" max="4" min="4" style="0" width="34"/>
    <col collapsed="false" customWidth="true" hidden="false" outlineLevel="0" max="5" min="5" style="0" width="62"/>
  </cols>
  <sheetData>
    <row r="1" customFormat="false" ht="17.35" hidden="false" customHeight="false" outlineLevel="0" collapsed="false">
      <c r="A1" s="1" t="s">
        <v>476</v>
      </c>
    </row>
    <row r="2" customFormat="false" ht="15" hidden="false" customHeight="false" outlineLevel="0" collapsed="false">
      <c r="A2" s="2" t="s">
        <v>477</v>
      </c>
    </row>
    <row r="4" customFormat="false" ht="15" hidden="false" customHeight="false" outlineLevel="0" collapsed="false">
      <c r="A4" s="25" t="s">
        <v>478</v>
      </c>
    </row>
    <row r="5" customFormat="false" ht="15" hidden="false" customHeight="false" outlineLevel="0" collapsed="false">
      <c r="A5" s="9" t="s">
        <v>479</v>
      </c>
      <c r="B5" s="9" t="s">
        <v>480</v>
      </c>
      <c r="C5" s="9" t="s">
        <v>481</v>
      </c>
      <c r="D5" s="9" t="s">
        <v>482</v>
      </c>
      <c r="E5" s="9" t="s">
        <v>483</v>
      </c>
    </row>
    <row r="6" customFormat="false" ht="15" hidden="false" customHeight="false" outlineLevel="0" collapsed="false">
      <c r="A6" s="11" t="s">
        <v>484</v>
      </c>
      <c r="B6" s="11" t="s">
        <v>485</v>
      </c>
      <c r="C6" s="11" t="s">
        <v>486</v>
      </c>
      <c r="D6" s="11" t="s">
        <v>487</v>
      </c>
      <c r="E6" s="11" t="s">
        <v>488</v>
      </c>
    </row>
    <row r="7" customFormat="false" ht="23.85" hidden="false" customHeight="false" outlineLevel="0" collapsed="false">
      <c r="A7" s="11" t="s">
        <v>489</v>
      </c>
      <c r="B7" s="11" t="s">
        <v>485</v>
      </c>
      <c r="C7" s="11" t="s">
        <v>490</v>
      </c>
      <c r="D7" s="11" t="s">
        <v>491</v>
      </c>
      <c r="E7" s="11" t="s">
        <v>492</v>
      </c>
    </row>
    <row r="8" customFormat="false" ht="23.85" hidden="false" customHeight="false" outlineLevel="0" collapsed="false">
      <c r="A8" s="11" t="s">
        <v>493</v>
      </c>
      <c r="B8" s="11" t="s">
        <v>485</v>
      </c>
      <c r="C8" s="11" t="s">
        <v>494</v>
      </c>
      <c r="D8" s="11" t="s">
        <v>495</v>
      </c>
      <c r="E8" s="11" t="s">
        <v>496</v>
      </c>
    </row>
    <row r="9" customFormat="false" ht="15" hidden="false" customHeight="false" outlineLevel="0" collapsed="false">
      <c r="A9" s="16" t="s">
        <v>497</v>
      </c>
      <c r="B9" s="16" t="s">
        <v>485</v>
      </c>
      <c r="C9" s="16" t="s">
        <v>498</v>
      </c>
      <c r="D9" s="16" t="s">
        <v>499</v>
      </c>
      <c r="E9" s="16" t="s">
        <v>500</v>
      </c>
    </row>
    <row r="10" customFormat="false" ht="23.85" hidden="false" customHeight="false" outlineLevel="0" collapsed="false">
      <c r="A10" s="11" t="s">
        <v>501</v>
      </c>
      <c r="B10" s="11" t="s">
        <v>502</v>
      </c>
      <c r="C10" s="11" t="s">
        <v>503</v>
      </c>
      <c r="D10" s="11" t="s">
        <v>504</v>
      </c>
      <c r="E10" s="11" t="s">
        <v>505</v>
      </c>
    </row>
    <row r="11" customFormat="false" ht="15" hidden="false" customHeight="false" outlineLevel="0" collapsed="false">
      <c r="A11" s="11" t="s">
        <v>506</v>
      </c>
      <c r="B11" s="11" t="s">
        <v>507</v>
      </c>
      <c r="C11" s="11" t="s">
        <v>508</v>
      </c>
      <c r="D11" s="11" t="s">
        <v>509</v>
      </c>
      <c r="E11" s="11" t="s">
        <v>510</v>
      </c>
    </row>
    <row r="12" customFormat="false" ht="23.85" hidden="false" customHeight="false" outlineLevel="0" collapsed="false">
      <c r="A12" s="11" t="s">
        <v>511</v>
      </c>
      <c r="B12" s="11" t="s">
        <v>507</v>
      </c>
      <c r="C12" s="11" t="s">
        <v>512</v>
      </c>
      <c r="D12" s="11" t="s">
        <v>513</v>
      </c>
      <c r="E12" s="11" t="s">
        <v>514</v>
      </c>
    </row>
    <row r="13" customFormat="false" ht="15" hidden="false" customHeight="false" outlineLevel="0" collapsed="false">
      <c r="A13" s="11" t="s">
        <v>515</v>
      </c>
      <c r="B13" s="11" t="s">
        <v>516</v>
      </c>
      <c r="C13" s="11" t="s">
        <v>517</v>
      </c>
      <c r="D13" s="11" t="s">
        <v>518</v>
      </c>
      <c r="E13" s="11" t="s">
        <v>519</v>
      </c>
    </row>
    <row r="15" customFormat="false" ht="15" hidden="false" customHeight="false" outlineLevel="0" collapsed="false">
      <c r="A15" s="25" t="s">
        <v>520</v>
      </c>
    </row>
    <row r="16" customFormat="false" ht="15" hidden="false" customHeight="false" outlineLevel="0" collapsed="false">
      <c r="A16" s="9" t="s">
        <v>479</v>
      </c>
      <c r="B16" s="9" t="s">
        <v>480</v>
      </c>
      <c r="C16" s="9" t="s">
        <v>481</v>
      </c>
      <c r="D16" s="9" t="s">
        <v>521</v>
      </c>
      <c r="E16" s="9" t="s">
        <v>483</v>
      </c>
    </row>
    <row r="17" customFormat="false" ht="15" hidden="false" customHeight="false" outlineLevel="0" collapsed="false">
      <c r="A17" s="11" t="s">
        <v>522</v>
      </c>
      <c r="B17" s="11" t="s">
        <v>507</v>
      </c>
      <c r="C17" s="11" t="s">
        <v>523</v>
      </c>
      <c r="D17" s="11" t="s">
        <v>524</v>
      </c>
      <c r="E17" s="11" t="s">
        <v>525</v>
      </c>
    </row>
    <row r="18" customFormat="false" ht="15" hidden="false" customHeight="false" outlineLevel="0" collapsed="false">
      <c r="A18" s="11" t="s">
        <v>526</v>
      </c>
      <c r="B18" s="11" t="s">
        <v>507</v>
      </c>
      <c r="C18" s="11" t="s">
        <v>527</v>
      </c>
      <c r="D18" s="11" t="s">
        <v>528</v>
      </c>
      <c r="E18" s="11" t="s">
        <v>529</v>
      </c>
    </row>
    <row r="19" customFormat="false" ht="15" hidden="false" customHeight="false" outlineLevel="0" collapsed="false">
      <c r="A19" s="11" t="s">
        <v>530</v>
      </c>
      <c r="B19" s="11" t="s">
        <v>531</v>
      </c>
      <c r="C19" s="11" t="s">
        <v>532</v>
      </c>
      <c r="D19" s="11" t="s">
        <v>533</v>
      </c>
      <c r="E19" s="11" t="s">
        <v>534</v>
      </c>
    </row>
    <row r="20" customFormat="false" ht="15" hidden="false" customHeight="false" outlineLevel="0" collapsed="false">
      <c r="A20" s="11" t="s">
        <v>535</v>
      </c>
      <c r="B20" s="11" t="s">
        <v>502</v>
      </c>
      <c r="C20" s="11" t="s">
        <v>536</v>
      </c>
      <c r="D20" s="11" t="s">
        <v>537</v>
      </c>
      <c r="E20" s="11" t="s">
        <v>538</v>
      </c>
    </row>
    <row r="21" customFormat="false" ht="15" hidden="false" customHeight="false" outlineLevel="0" collapsed="false">
      <c r="A21" s="11" t="s">
        <v>539</v>
      </c>
      <c r="B21" s="11" t="s">
        <v>485</v>
      </c>
      <c r="C21" s="11" t="s">
        <v>540</v>
      </c>
      <c r="D21" s="11" t="s">
        <v>541</v>
      </c>
      <c r="E21" s="11" t="s">
        <v>542</v>
      </c>
    </row>
    <row r="22" customFormat="false" ht="15" hidden="false" customHeight="false" outlineLevel="0" collapsed="false">
      <c r="A22" s="11" t="s">
        <v>543</v>
      </c>
      <c r="B22" s="11" t="s">
        <v>485</v>
      </c>
      <c r="C22" s="11" t="s">
        <v>544</v>
      </c>
      <c r="D22" s="11" t="s">
        <v>545</v>
      </c>
      <c r="E22" s="11" t="s">
        <v>546</v>
      </c>
    </row>
    <row r="23" customFormat="false" ht="23.85" hidden="false" customHeight="false" outlineLevel="0" collapsed="false">
      <c r="A23" s="11" t="s">
        <v>516</v>
      </c>
      <c r="B23" s="11" t="s">
        <v>516</v>
      </c>
      <c r="C23" s="11" t="s">
        <v>547</v>
      </c>
      <c r="D23" s="11" t="s">
        <v>548</v>
      </c>
      <c r="E23" s="11" t="s">
        <v>549</v>
      </c>
    </row>
    <row r="25" customFormat="false" ht="15" hidden="false" customHeight="false" outlineLevel="0" collapsed="false">
      <c r="A25" s="25" t="s">
        <v>550</v>
      </c>
    </row>
    <row r="26" customFormat="false" ht="15" hidden="false" customHeight="false" outlineLevel="0" collapsed="false">
      <c r="A26" s="9" t="s">
        <v>551</v>
      </c>
      <c r="B26" s="9" t="s">
        <v>552</v>
      </c>
      <c r="C26" s="9" t="s">
        <v>553</v>
      </c>
      <c r="D26" s="9" t="s">
        <v>554</v>
      </c>
      <c r="E26" s="9" t="s">
        <v>555</v>
      </c>
    </row>
    <row r="27" customFormat="false" ht="23.85" hidden="false" customHeight="false" outlineLevel="0" collapsed="false">
      <c r="A27" s="11" t="s">
        <v>56</v>
      </c>
      <c r="B27" s="11" t="s">
        <v>556</v>
      </c>
      <c r="C27" s="11" t="s">
        <v>557</v>
      </c>
      <c r="D27" s="11" t="s">
        <v>558</v>
      </c>
      <c r="E27" s="11" t="s">
        <v>559</v>
      </c>
    </row>
    <row r="28" customFormat="false" ht="23.85" hidden="false" customHeight="false" outlineLevel="0" collapsed="false">
      <c r="A28" s="11" t="s">
        <v>107</v>
      </c>
      <c r="B28" s="11" t="s">
        <v>560</v>
      </c>
      <c r="C28" s="11" t="s">
        <v>561</v>
      </c>
      <c r="D28" s="11" t="s">
        <v>562</v>
      </c>
      <c r="E28" s="11" t="s">
        <v>563</v>
      </c>
    </row>
    <row r="29" customFormat="false" ht="23.85" hidden="false" customHeight="false" outlineLevel="0" collapsed="false">
      <c r="A29" s="11" t="s">
        <v>564</v>
      </c>
      <c r="B29" s="11" t="s">
        <v>565</v>
      </c>
      <c r="C29" s="11" t="s">
        <v>566</v>
      </c>
      <c r="D29" s="11" t="s">
        <v>567</v>
      </c>
      <c r="E29" s="11" t="s">
        <v>568</v>
      </c>
    </row>
    <row r="30" customFormat="false" ht="15" hidden="false" customHeight="false" outlineLevel="0" collapsed="false">
      <c r="A30" s="11" t="s">
        <v>285</v>
      </c>
      <c r="B30" s="11" t="s">
        <v>569</v>
      </c>
      <c r="C30" s="11" t="s">
        <v>570</v>
      </c>
      <c r="D30" s="11" t="s">
        <v>571</v>
      </c>
      <c r="E30" s="11" t="s">
        <v>572</v>
      </c>
    </row>
    <row r="31" customFormat="false" ht="23.85" hidden="false" customHeight="false" outlineLevel="0" collapsed="false">
      <c r="A31" s="11" t="s">
        <v>573</v>
      </c>
      <c r="B31" s="11" t="s">
        <v>574</v>
      </c>
      <c r="C31" s="11" t="s">
        <v>575</v>
      </c>
      <c r="D31" s="11" t="s">
        <v>576</v>
      </c>
      <c r="E31" s="11" t="s">
        <v>577</v>
      </c>
    </row>
    <row r="32" customFormat="false" ht="23.85" hidden="false" customHeight="false" outlineLevel="0" collapsed="false">
      <c r="A32" s="11" t="s">
        <v>121</v>
      </c>
      <c r="B32" s="11" t="s">
        <v>578</v>
      </c>
      <c r="C32" s="11" t="s">
        <v>533</v>
      </c>
      <c r="D32" s="11" t="s">
        <v>579</v>
      </c>
      <c r="E32" s="11" t="s">
        <v>580</v>
      </c>
    </row>
    <row r="34" customFormat="false" ht="15" hidden="false" customHeight="false" outlineLevel="0" collapsed="false">
      <c r="A34" s="25" t="s">
        <v>581</v>
      </c>
    </row>
    <row r="35" customFormat="false" ht="15" hidden="false" customHeight="false" outlineLevel="0" collapsed="false">
      <c r="A35" s="9" t="s">
        <v>582</v>
      </c>
      <c r="B35" s="9" t="s">
        <v>583</v>
      </c>
      <c r="C35" s="9" t="s">
        <v>584</v>
      </c>
      <c r="D35" s="9" t="s">
        <v>585</v>
      </c>
      <c r="E35" s="9" t="s">
        <v>483</v>
      </c>
    </row>
    <row r="36" customFormat="false" ht="46.25" hidden="false" customHeight="false" outlineLevel="0" collapsed="false">
      <c r="A36" s="11" t="s">
        <v>586</v>
      </c>
      <c r="B36" s="11" t="s">
        <v>587</v>
      </c>
      <c r="C36" s="11" t="s">
        <v>588</v>
      </c>
      <c r="D36" s="11" t="s">
        <v>589</v>
      </c>
      <c r="E36" s="11" t="s">
        <v>590</v>
      </c>
    </row>
    <row r="37" customFormat="false" ht="46.25" hidden="false" customHeight="false" outlineLevel="0" collapsed="false">
      <c r="A37" s="11" t="s">
        <v>591</v>
      </c>
      <c r="B37" s="11" t="s">
        <v>592</v>
      </c>
      <c r="C37" s="11" t="s">
        <v>593</v>
      </c>
      <c r="D37" s="11" t="s">
        <v>594</v>
      </c>
      <c r="E37" s="11" t="s">
        <v>595</v>
      </c>
    </row>
    <row r="38" customFormat="false" ht="46.25" hidden="false" customHeight="false" outlineLevel="0" collapsed="false">
      <c r="A38" s="11" t="s">
        <v>596</v>
      </c>
      <c r="B38" s="11" t="s">
        <v>597</v>
      </c>
      <c r="C38" s="11" t="s">
        <v>598</v>
      </c>
      <c r="D38" s="11" t="s">
        <v>599</v>
      </c>
      <c r="E38" s="11" t="s">
        <v>600</v>
      </c>
    </row>
    <row r="39" customFormat="false" ht="46.25" hidden="false" customHeight="false" outlineLevel="0" collapsed="false">
      <c r="A39" s="11" t="s">
        <v>601</v>
      </c>
      <c r="B39" s="11" t="s">
        <v>602</v>
      </c>
      <c r="C39" s="11" t="s">
        <v>603</v>
      </c>
      <c r="D39" s="11" t="s">
        <v>604</v>
      </c>
      <c r="E39" s="11" t="s">
        <v>605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8"/>
    <col collapsed="false" customWidth="true" hidden="false" outlineLevel="0" max="4" min="4" style="0" width="36"/>
    <col collapsed="false" customWidth="true" hidden="false" outlineLevel="0" max="5" min="5" style="0" width="70"/>
    <col collapsed="false" customWidth="true" hidden="false" outlineLevel="0" max="6" min="6" style="0" width="56"/>
    <col collapsed="false" customWidth="true" hidden="false" outlineLevel="0" max="7" min="7" style="0" width="40"/>
    <col collapsed="false" customWidth="true" hidden="false" outlineLevel="0" max="8" min="8" style="0" width="8"/>
  </cols>
  <sheetData>
    <row r="1" customFormat="false" ht="17.35" hidden="false" customHeight="false" outlineLevel="0" collapsed="false">
      <c r="A1" s="1" t="s">
        <v>606</v>
      </c>
    </row>
    <row r="2" customFormat="false" ht="15" hidden="false" customHeight="false" outlineLevel="0" collapsed="false">
      <c r="A2" s="2" t="s">
        <v>607</v>
      </c>
    </row>
    <row r="4" customFormat="false" ht="15" hidden="false" customHeight="false" outlineLevel="0" collapsed="false">
      <c r="A4" s="9" t="s">
        <v>551</v>
      </c>
      <c r="B4" s="9" t="s">
        <v>608</v>
      </c>
      <c r="C4" s="9" t="s">
        <v>609</v>
      </c>
      <c r="D4" s="9" t="s">
        <v>610</v>
      </c>
      <c r="E4" s="9" t="s">
        <v>611</v>
      </c>
      <c r="F4" s="9" t="s">
        <v>612</v>
      </c>
      <c r="G4" s="9" t="s">
        <v>613</v>
      </c>
      <c r="H4" s="9" t="s">
        <v>614</v>
      </c>
    </row>
    <row r="5" customFormat="false" ht="23.85" hidden="false" customHeight="false" outlineLevel="0" collapsed="false">
      <c r="A5" s="11" t="n">
        <v>1</v>
      </c>
      <c r="B5" s="11" t="s">
        <v>615</v>
      </c>
      <c r="C5" s="11" t="s">
        <v>616</v>
      </c>
      <c r="D5" s="11" t="s">
        <v>617</v>
      </c>
      <c r="E5" s="11" t="s">
        <v>618</v>
      </c>
      <c r="F5" s="11" t="s">
        <v>619</v>
      </c>
      <c r="G5" s="11" t="s">
        <v>533</v>
      </c>
      <c r="H5" s="11" t="s">
        <v>620</v>
      </c>
    </row>
    <row r="6" customFormat="false" ht="23.85" hidden="false" customHeight="false" outlineLevel="0" collapsed="false">
      <c r="A6" s="11" t="n">
        <v>2</v>
      </c>
      <c r="B6" s="11" t="s">
        <v>615</v>
      </c>
      <c r="C6" s="11" t="s">
        <v>621</v>
      </c>
      <c r="D6" s="11" t="s">
        <v>622</v>
      </c>
      <c r="E6" s="11" t="s">
        <v>623</v>
      </c>
      <c r="F6" s="11" t="s">
        <v>624</v>
      </c>
      <c r="G6" s="11" t="s">
        <v>625</v>
      </c>
      <c r="H6" s="11" t="s">
        <v>620</v>
      </c>
    </row>
    <row r="7" customFormat="false" ht="23.85" hidden="false" customHeight="false" outlineLevel="0" collapsed="false">
      <c r="A7" s="11" t="n">
        <v>3</v>
      </c>
      <c r="B7" s="11" t="s">
        <v>626</v>
      </c>
      <c r="C7" s="11" t="s">
        <v>616</v>
      </c>
      <c r="D7" s="11" t="s">
        <v>627</v>
      </c>
      <c r="E7" s="11" t="s">
        <v>628</v>
      </c>
      <c r="F7" s="11" t="s">
        <v>629</v>
      </c>
      <c r="G7" s="11" t="s">
        <v>630</v>
      </c>
      <c r="H7" s="11" t="s">
        <v>620</v>
      </c>
    </row>
    <row r="8" customFormat="false" ht="23.85" hidden="false" customHeight="false" outlineLevel="0" collapsed="false">
      <c r="A8" s="11" t="n">
        <v>4</v>
      </c>
      <c r="B8" s="11" t="s">
        <v>626</v>
      </c>
      <c r="C8" s="11" t="s">
        <v>616</v>
      </c>
      <c r="D8" s="11" t="s">
        <v>631</v>
      </c>
      <c r="E8" s="11" t="s">
        <v>632</v>
      </c>
      <c r="F8" s="11" t="s">
        <v>633</v>
      </c>
      <c r="G8" s="11" t="s">
        <v>533</v>
      </c>
      <c r="H8" s="11" t="s">
        <v>620</v>
      </c>
    </row>
    <row r="9" customFormat="false" ht="23.85" hidden="false" customHeight="false" outlineLevel="0" collapsed="false">
      <c r="A9" s="11" t="n">
        <v>5</v>
      </c>
      <c r="B9" s="11" t="s">
        <v>626</v>
      </c>
      <c r="C9" s="11" t="s">
        <v>616</v>
      </c>
      <c r="D9" s="11" t="s">
        <v>634</v>
      </c>
      <c r="E9" s="11" t="s">
        <v>635</v>
      </c>
      <c r="F9" s="11" t="s">
        <v>636</v>
      </c>
      <c r="G9" s="11" t="s">
        <v>637</v>
      </c>
      <c r="H9" s="11" t="s">
        <v>620</v>
      </c>
    </row>
    <row r="10" customFormat="false" ht="35.05" hidden="false" customHeight="false" outlineLevel="0" collapsed="false">
      <c r="A10" s="11" t="n">
        <v>6</v>
      </c>
      <c r="B10" s="11" t="s">
        <v>626</v>
      </c>
      <c r="C10" s="11" t="s">
        <v>616</v>
      </c>
      <c r="D10" s="11" t="s">
        <v>638</v>
      </c>
      <c r="E10" s="11" t="s">
        <v>639</v>
      </c>
      <c r="F10" s="11" t="s">
        <v>640</v>
      </c>
      <c r="G10" s="11" t="s">
        <v>641</v>
      </c>
      <c r="H10" s="11" t="s">
        <v>620</v>
      </c>
    </row>
    <row r="11" customFormat="false" ht="23.85" hidden="false" customHeight="false" outlineLevel="0" collapsed="false">
      <c r="A11" s="11" t="n">
        <v>7</v>
      </c>
      <c r="B11" s="11" t="s">
        <v>626</v>
      </c>
      <c r="C11" s="11" t="s">
        <v>616</v>
      </c>
      <c r="D11" s="11" t="s">
        <v>642</v>
      </c>
      <c r="E11" s="11" t="s">
        <v>643</v>
      </c>
      <c r="F11" s="11" t="s">
        <v>644</v>
      </c>
      <c r="G11" s="11" t="s">
        <v>645</v>
      </c>
      <c r="H11" s="11" t="s">
        <v>620</v>
      </c>
    </row>
    <row r="12" customFormat="false" ht="23.85" hidden="false" customHeight="false" outlineLevel="0" collapsed="false">
      <c r="A12" s="11" t="n">
        <v>8</v>
      </c>
      <c r="B12" s="11" t="s">
        <v>626</v>
      </c>
      <c r="C12" s="11" t="s">
        <v>616</v>
      </c>
      <c r="D12" s="11" t="s">
        <v>646</v>
      </c>
      <c r="E12" s="11" t="s">
        <v>647</v>
      </c>
      <c r="F12" s="11" t="s">
        <v>648</v>
      </c>
      <c r="G12" s="11" t="s">
        <v>649</v>
      </c>
      <c r="H12" s="11" t="s">
        <v>620</v>
      </c>
    </row>
    <row r="13" customFormat="false" ht="23.85" hidden="false" customHeight="false" outlineLevel="0" collapsed="false">
      <c r="A13" s="11" t="n">
        <v>9</v>
      </c>
      <c r="B13" s="11" t="s">
        <v>626</v>
      </c>
      <c r="C13" s="11" t="s">
        <v>616</v>
      </c>
      <c r="D13" s="11" t="s">
        <v>650</v>
      </c>
      <c r="E13" s="11" t="s">
        <v>651</v>
      </c>
      <c r="F13" s="11" t="s">
        <v>652</v>
      </c>
      <c r="G13" s="11" t="s">
        <v>653</v>
      </c>
      <c r="H13" s="11" t="s">
        <v>620</v>
      </c>
    </row>
    <row r="14" customFormat="false" ht="23.85" hidden="false" customHeight="false" outlineLevel="0" collapsed="false">
      <c r="A14" s="11" t="n">
        <v>10</v>
      </c>
      <c r="B14" s="11" t="s">
        <v>626</v>
      </c>
      <c r="C14" s="11" t="s">
        <v>616</v>
      </c>
      <c r="D14" s="11" t="s">
        <v>654</v>
      </c>
      <c r="E14" s="11" t="s">
        <v>655</v>
      </c>
      <c r="F14" s="11" t="s">
        <v>656</v>
      </c>
      <c r="G14" s="11" t="s">
        <v>657</v>
      </c>
      <c r="H14" s="11" t="s">
        <v>620</v>
      </c>
    </row>
    <row r="15" customFormat="false" ht="35.05" hidden="false" customHeight="false" outlineLevel="0" collapsed="false">
      <c r="A15" s="11" t="n">
        <v>11</v>
      </c>
      <c r="B15" s="11" t="s">
        <v>658</v>
      </c>
      <c r="C15" s="11" t="s">
        <v>616</v>
      </c>
      <c r="D15" s="11" t="s">
        <v>659</v>
      </c>
      <c r="E15" s="11" t="s">
        <v>660</v>
      </c>
      <c r="F15" s="11" t="s">
        <v>661</v>
      </c>
      <c r="G15" s="11" t="s">
        <v>662</v>
      </c>
      <c r="H15" s="11" t="s">
        <v>620</v>
      </c>
    </row>
    <row r="16" customFormat="false" ht="23.85" hidden="false" customHeight="false" outlineLevel="0" collapsed="false">
      <c r="A16" s="11" t="n">
        <v>12</v>
      </c>
      <c r="B16" s="11" t="s">
        <v>658</v>
      </c>
      <c r="C16" s="11" t="s">
        <v>616</v>
      </c>
      <c r="D16" s="11" t="s">
        <v>663</v>
      </c>
      <c r="E16" s="11" t="s">
        <v>664</v>
      </c>
      <c r="F16" s="11" t="s">
        <v>665</v>
      </c>
      <c r="G16" s="11" t="s">
        <v>666</v>
      </c>
      <c r="H16" s="11" t="s">
        <v>620</v>
      </c>
    </row>
    <row r="17" customFormat="false" ht="23.85" hidden="false" customHeight="false" outlineLevel="0" collapsed="false">
      <c r="A17" s="11" t="n">
        <v>13</v>
      </c>
      <c r="B17" s="11" t="s">
        <v>658</v>
      </c>
      <c r="C17" s="11" t="s">
        <v>616</v>
      </c>
      <c r="D17" s="11" t="s">
        <v>667</v>
      </c>
      <c r="E17" s="11" t="s">
        <v>668</v>
      </c>
      <c r="F17" s="11" t="s">
        <v>669</v>
      </c>
      <c r="G17" s="11" t="s">
        <v>670</v>
      </c>
      <c r="H17" s="11" t="s">
        <v>620</v>
      </c>
    </row>
    <row r="18" customFormat="false" ht="23.85" hidden="false" customHeight="false" outlineLevel="0" collapsed="false">
      <c r="A18" s="11" t="n">
        <v>14</v>
      </c>
      <c r="B18" s="11" t="s">
        <v>671</v>
      </c>
      <c r="C18" s="11" t="s">
        <v>672</v>
      </c>
      <c r="D18" s="11" t="s">
        <v>673</v>
      </c>
      <c r="E18" s="11" t="s">
        <v>674</v>
      </c>
      <c r="F18" s="11" t="s">
        <v>675</v>
      </c>
      <c r="G18" s="11" t="s">
        <v>676</v>
      </c>
      <c r="H18" s="11" t="s">
        <v>620</v>
      </c>
    </row>
    <row r="19" customFormat="false" ht="15" hidden="false" customHeight="false" outlineLevel="0" collapsed="false">
      <c r="A19" s="11" t="n">
        <v>15</v>
      </c>
      <c r="B19" s="11" t="s">
        <v>671</v>
      </c>
      <c r="C19" s="11" t="s">
        <v>672</v>
      </c>
      <c r="D19" s="11" t="s">
        <v>677</v>
      </c>
      <c r="E19" s="11" t="s">
        <v>678</v>
      </c>
      <c r="F19" s="11" t="s">
        <v>679</v>
      </c>
      <c r="G19" s="11" t="s">
        <v>680</v>
      </c>
      <c r="H19" s="11" t="s">
        <v>620</v>
      </c>
    </row>
    <row r="20" customFormat="false" ht="23.85" hidden="false" customHeight="false" outlineLevel="0" collapsed="false">
      <c r="A20" s="11" t="n">
        <v>16</v>
      </c>
      <c r="B20" s="11" t="s">
        <v>681</v>
      </c>
      <c r="C20" s="11" t="s">
        <v>682</v>
      </c>
      <c r="D20" s="11" t="s">
        <v>683</v>
      </c>
      <c r="E20" s="11" t="s">
        <v>684</v>
      </c>
      <c r="F20" s="11" t="s">
        <v>685</v>
      </c>
      <c r="G20" s="11" t="s">
        <v>686</v>
      </c>
      <c r="H20" s="11" t="s">
        <v>620</v>
      </c>
    </row>
    <row r="21" customFormat="false" ht="23.85" hidden="false" customHeight="false" outlineLevel="0" collapsed="false">
      <c r="A21" s="11" t="n">
        <v>17</v>
      </c>
      <c r="B21" s="11" t="s">
        <v>681</v>
      </c>
      <c r="C21" s="11" t="s">
        <v>682</v>
      </c>
      <c r="D21" s="11" t="s">
        <v>687</v>
      </c>
      <c r="E21" s="11" t="s">
        <v>688</v>
      </c>
      <c r="F21" s="11" t="s">
        <v>689</v>
      </c>
      <c r="G21" s="11" t="s">
        <v>690</v>
      </c>
      <c r="H21" s="11" t="s">
        <v>620</v>
      </c>
    </row>
    <row r="22" customFormat="false" ht="23.85" hidden="false" customHeight="false" outlineLevel="0" collapsed="false">
      <c r="A22" s="11" t="n">
        <v>18</v>
      </c>
      <c r="B22" s="11" t="s">
        <v>681</v>
      </c>
      <c r="C22" s="11" t="s">
        <v>682</v>
      </c>
      <c r="D22" s="11" t="s">
        <v>691</v>
      </c>
      <c r="E22" s="11" t="s">
        <v>692</v>
      </c>
      <c r="F22" s="11" t="s">
        <v>693</v>
      </c>
      <c r="G22" s="11" t="s">
        <v>694</v>
      </c>
      <c r="H22" s="11" t="s">
        <v>620</v>
      </c>
    </row>
    <row r="23" customFormat="false" ht="15" hidden="false" customHeight="false" outlineLevel="0" collapsed="false">
      <c r="A23" s="11" t="n">
        <v>19</v>
      </c>
      <c r="B23" s="11" t="s">
        <v>695</v>
      </c>
      <c r="C23" s="11" t="s">
        <v>696</v>
      </c>
      <c r="D23" s="11" t="s">
        <v>697</v>
      </c>
      <c r="E23" s="11" t="s">
        <v>698</v>
      </c>
      <c r="F23" s="11" t="s">
        <v>699</v>
      </c>
      <c r="G23" s="11" t="s">
        <v>700</v>
      </c>
      <c r="H23" s="11" t="s">
        <v>620</v>
      </c>
    </row>
    <row r="24" customFormat="false" ht="15" hidden="false" customHeight="false" outlineLevel="0" collapsed="false">
      <c r="A24" s="11" t="n">
        <v>20</v>
      </c>
      <c r="B24" s="11" t="s">
        <v>695</v>
      </c>
      <c r="C24" s="11" t="s">
        <v>701</v>
      </c>
      <c r="D24" s="11" t="s">
        <v>702</v>
      </c>
      <c r="E24" s="11" t="s">
        <v>703</v>
      </c>
      <c r="F24" s="11" t="s">
        <v>704</v>
      </c>
      <c r="G24" s="11" t="s">
        <v>705</v>
      </c>
      <c r="H24" s="11" t="s">
        <v>620</v>
      </c>
    </row>
    <row r="25" customFormat="false" ht="23.85" hidden="false" customHeight="false" outlineLevel="0" collapsed="false">
      <c r="A25" s="11" t="n">
        <v>21</v>
      </c>
      <c r="B25" s="11" t="s">
        <v>695</v>
      </c>
      <c r="C25" s="11" t="s">
        <v>706</v>
      </c>
      <c r="D25" s="11" t="s">
        <v>707</v>
      </c>
      <c r="E25" s="11" t="s">
        <v>708</v>
      </c>
      <c r="F25" s="11" t="s">
        <v>709</v>
      </c>
      <c r="G25" s="11" t="s">
        <v>710</v>
      </c>
      <c r="H25" s="11" t="s">
        <v>620</v>
      </c>
    </row>
    <row r="26" customFormat="false" ht="23.85" hidden="false" customHeight="false" outlineLevel="0" collapsed="false">
      <c r="A26" s="11" t="n">
        <v>22</v>
      </c>
      <c r="B26" s="11" t="s">
        <v>695</v>
      </c>
      <c r="C26" s="11" t="s">
        <v>672</v>
      </c>
      <c r="D26" s="11" t="s">
        <v>711</v>
      </c>
      <c r="E26" s="11" t="s">
        <v>712</v>
      </c>
      <c r="F26" s="11" t="s">
        <v>713</v>
      </c>
      <c r="G26" s="11" t="s">
        <v>714</v>
      </c>
      <c r="H26" s="11" t="s">
        <v>620</v>
      </c>
    </row>
    <row r="27" customFormat="false" ht="15" hidden="false" customHeight="false" outlineLevel="0" collapsed="false">
      <c r="A27" s="11" t="n">
        <v>23</v>
      </c>
      <c r="B27" s="11" t="s">
        <v>715</v>
      </c>
      <c r="C27" s="11" t="s">
        <v>716</v>
      </c>
      <c r="D27" s="11" t="s">
        <v>717</v>
      </c>
      <c r="E27" s="11" t="s">
        <v>718</v>
      </c>
      <c r="F27" s="11" t="s">
        <v>719</v>
      </c>
      <c r="G27" s="11" t="s">
        <v>720</v>
      </c>
      <c r="H27" s="11" t="s">
        <v>620</v>
      </c>
    </row>
    <row r="28" customFormat="false" ht="23.85" hidden="false" customHeight="false" outlineLevel="0" collapsed="false">
      <c r="A28" s="11" t="n">
        <v>24</v>
      </c>
      <c r="B28" s="11" t="s">
        <v>715</v>
      </c>
      <c r="C28" s="11" t="s">
        <v>716</v>
      </c>
      <c r="D28" s="11" t="s">
        <v>721</v>
      </c>
      <c r="E28" s="11" t="s">
        <v>722</v>
      </c>
      <c r="F28" s="11" t="s">
        <v>723</v>
      </c>
      <c r="G28" s="11" t="s">
        <v>724</v>
      </c>
      <c r="H28" s="11" t="s">
        <v>620</v>
      </c>
    </row>
    <row r="29" customFormat="false" ht="15" hidden="false" customHeight="false" outlineLevel="0" collapsed="false">
      <c r="A29" s="11" t="n">
        <v>25</v>
      </c>
      <c r="B29" s="11" t="s">
        <v>715</v>
      </c>
      <c r="C29" s="11" t="s">
        <v>716</v>
      </c>
      <c r="D29" s="11" t="s">
        <v>725</v>
      </c>
      <c r="E29" s="11" t="s">
        <v>726</v>
      </c>
      <c r="F29" s="11" t="s">
        <v>727</v>
      </c>
      <c r="G29" s="11" t="s">
        <v>728</v>
      </c>
      <c r="H29" s="11" t="s">
        <v>620</v>
      </c>
    </row>
    <row r="30" customFormat="false" ht="23.85" hidden="false" customHeight="false" outlineLevel="0" collapsed="false">
      <c r="A30" s="11" t="n">
        <v>26</v>
      </c>
      <c r="B30" s="11" t="s">
        <v>715</v>
      </c>
      <c r="C30" s="11" t="s">
        <v>716</v>
      </c>
      <c r="D30" s="11" t="s">
        <v>729</v>
      </c>
      <c r="E30" s="11" t="s">
        <v>730</v>
      </c>
      <c r="F30" s="11" t="s">
        <v>731</v>
      </c>
      <c r="G30" s="11" t="s">
        <v>732</v>
      </c>
      <c r="H30" s="11" t="s">
        <v>620</v>
      </c>
    </row>
    <row r="31" customFormat="false" ht="23.85" hidden="false" customHeight="false" outlineLevel="0" collapsed="false">
      <c r="A31" s="11" t="n">
        <v>27</v>
      </c>
      <c r="B31" s="11" t="s">
        <v>733</v>
      </c>
      <c r="C31" s="11" t="s">
        <v>672</v>
      </c>
      <c r="D31" s="11" t="s">
        <v>734</v>
      </c>
      <c r="E31" s="11" t="s">
        <v>735</v>
      </c>
      <c r="F31" s="11" t="s">
        <v>736</v>
      </c>
      <c r="G31" s="11" t="s">
        <v>737</v>
      </c>
      <c r="H31" s="11" t="s">
        <v>620</v>
      </c>
    </row>
    <row r="32" customFormat="false" ht="23.85" hidden="false" customHeight="false" outlineLevel="0" collapsed="false">
      <c r="A32" s="11" t="n">
        <v>28</v>
      </c>
      <c r="B32" s="11" t="s">
        <v>733</v>
      </c>
      <c r="C32" s="11" t="s">
        <v>672</v>
      </c>
      <c r="D32" s="11" t="s">
        <v>738</v>
      </c>
      <c r="E32" s="11" t="s">
        <v>739</v>
      </c>
      <c r="F32" s="11" t="s">
        <v>740</v>
      </c>
      <c r="G32" s="11" t="s">
        <v>741</v>
      </c>
      <c r="H32" s="11" t="s">
        <v>620</v>
      </c>
    </row>
    <row r="33" customFormat="false" ht="15" hidden="false" customHeight="false" outlineLevel="0" collapsed="false">
      <c r="A33" s="11" t="n">
        <v>29</v>
      </c>
      <c r="B33" s="11" t="s">
        <v>742</v>
      </c>
      <c r="C33" s="11" t="s">
        <v>743</v>
      </c>
      <c r="D33" s="11" t="s">
        <v>744</v>
      </c>
      <c r="E33" s="11" t="s">
        <v>745</v>
      </c>
      <c r="F33" s="11" t="s">
        <v>746</v>
      </c>
      <c r="G33" s="11" t="s">
        <v>747</v>
      </c>
      <c r="H33" s="11" t="s">
        <v>620</v>
      </c>
    </row>
    <row r="34" customFormat="false" ht="23.85" hidden="false" customHeight="false" outlineLevel="0" collapsed="false">
      <c r="A34" s="11" t="n">
        <v>30</v>
      </c>
      <c r="B34" s="11" t="s">
        <v>748</v>
      </c>
      <c r="C34" s="11" t="s">
        <v>743</v>
      </c>
      <c r="D34" s="11" t="s">
        <v>749</v>
      </c>
      <c r="E34" s="11" t="s">
        <v>750</v>
      </c>
      <c r="F34" s="11" t="s">
        <v>751</v>
      </c>
      <c r="G34" s="11" t="s">
        <v>752</v>
      </c>
      <c r="H34" s="11" t="s">
        <v>620</v>
      </c>
    </row>
  </sheetData>
  <autoFilter ref="A4:H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36"/>
    <col collapsed="false" customWidth="true" hidden="false" outlineLevel="0" max="4" min="4" style="0" width="24"/>
    <col collapsed="false" customWidth="true" hidden="false" outlineLevel="0" max="5" min="5" style="0" width="62"/>
    <col collapsed="false" customWidth="true" hidden="false" outlineLevel="0" max="6" min="6" style="0" width="12"/>
  </cols>
  <sheetData>
    <row r="1" customFormat="false" ht="17.35" hidden="false" customHeight="false" outlineLevel="0" collapsed="false">
      <c r="A1" s="1" t="s">
        <v>753</v>
      </c>
    </row>
    <row r="2" customFormat="false" ht="15" hidden="false" customHeight="false" outlineLevel="0" collapsed="false">
      <c r="A2" s="2" t="s">
        <v>754</v>
      </c>
    </row>
    <row r="4" customFormat="false" ht="15" hidden="false" customHeight="false" outlineLevel="0" collapsed="false">
      <c r="A4" s="9" t="s">
        <v>755</v>
      </c>
      <c r="B4" s="9" t="s">
        <v>756</v>
      </c>
      <c r="C4" s="9" t="s">
        <v>757</v>
      </c>
      <c r="D4" s="9" t="s">
        <v>758</v>
      </c>
      <c r="E4" s="9" t="s">
        <v>483</v>
      </c>
      <c r="F4" s="9" t="s">
        <v>759</v>
      </c>
    </row>
    <row r="5" customFormat="false" ht="15" hidden="false" customHeight="false" outlineLevel="0" collapsed="false">
      <c r="A5" s="11" t="s">
        <v>516</v>
      </c>
      <c r="B5" s="11" t="s">
        <v>760</v>
      </c>
      <c r="C5" s="11" t="s">
        <v>761</v>
      </c>
      <c r="D5" s="11" t="s">
        <v>762</v>
      </c>
      <c r="E5" s="11" t="s">
        <v>763</v>
      </c>
      <c r="F5" s="11" t="s">
        <v>764</v>
      </c>
    </row>
    <row r="6" customFormat="false" ht="15" hidden="false" customHeight="false" outlineLevel="0" collapsed="false">
      <c r="A6" s="11" t="s">
        <v>516</v>
      </c>
      <c r="B6" s="11" t="s">
        <v>765</v>
      </c>
      <c r="C6" s="11" t="s">
        <v>766</v>
      </c>
      <c r="D6" s="11" t="s">
        <v>767</v>
      </c>
      <c r="E6" s="11" t="s">
        <v>768</v>
      </c>
      <c r="F6" s="11" t="s">
        <v>764</v>
      </c>
    </row>
    <row r="7" customFormat="false" ht="15" hidden="false" customHeight="false" outlineLevel="0" collapsed="false">
      <c r="A7" s="11" t="s">
        <v>516</v>
      </c>
      <c r="B7" s="11" t="s">
        <v>769</v>
      </c>
      <c r="C7" s="11" t="s">
        <v>770</v>
      </c>
      <c r="D7" s="11" t="s">
        <v>771</v>
      </c>
      <c r="E7" s="11" t="s">
        <v>772</v>
      </c>
      <c r="F7" s="11" t="s">
        <v>764</v>
      </c>
    </row>
    <row r="8" customFormat="false" ht="15" hidden="false" customHeight="false" outlineLevel="0" collapsed="false">
      <c r="A8" s="11" t="s">
        <v>773</v>
      </c>
      <c r="B8" s="11" t="s">
        <v>774</v>
      </c>
      <c r="C8" s="11" t="s">
        <v>775</v>
      </c>
      <c r="D8" s="11" t="s">
        <v>776</v>
      </c>
      <c r="E8" s="11" t="s">
        <v>777</v>
      </c>
      <c r="F8" s="11" t="s">
        <v>764</v>
      </c>
    </row>
    <row r="9" customFormat="false" ht="15" hidden="false" customHeight="false" outlineLevel="0" collapsed="false">
      <c r="A9" s="11" t="s">
        <v>773</v>
      </c>
      <c r="B9" s="11" t="s">
        <v>778</v>
      </c>
      <c r="C9" s="11" t="s">
        <v>779</v>
      </c>
      <c r="D9" s="11" t="s">
        <v>780</v>
      </c>
      <c r="E9" s="11" t="s">
        <v>781</v>
      </c>
      <c r="F9" s="11" t="s">
        <v>764</v>
      </c>
    </row>
    <row r="10" customFormat="false" ht="15" hidden="false" customHeight="false" outlineLevel="0" collapsed="false">
      <c r="A10" s="11" t="s">
        <v>782</v>
      </c>
      <c r="B10" s="11" t="s">
        <v>783</v>
      </c>
      <c r="C10" s="26" t="s">
        <v>784</v>
      </c>
      <c r="D10" s="11" t="s">
        <v>785</v>
      </c>
      <c r="E10" s="11" t="s">
        <v>786</v>
      </c>
      <c r="F10" s="11" t="s">
        <v>787</v>
      </c>
    </row>
    <row r="11" customFormat="false" ht="15" hidden="false" customHeight="false" outlineLevel="0" collapsed="false">
      <c r="A11" s="11" t="s">
        <v>782</v>
      </c>
      <c r="B11" s="11" t="s">
        <v>788</v>
      </c>
      <c r="C11" s="26" t="s">
        <v>789</v>
      </c>
      <c r="D11" s="11" t="s">
        <v>785</v>
      </c>
      <c r="E11" s="11" t="s">
        <v>790</v>
      </c>
      <c r="F11" s="11" t="s">
        <v>787</v>
      </c>
    </row>
    <row r="12" customFormat="false" ht="15" hidden="false" customHeight="false" outlineLevel="0" collapsed="false">
      <c r="A12" s="11" t="s">
        <v>791</v>
      </c>
      <c r="B12" s="11" t="s">
        <v>792</v>
      </c>
      <c r="C12" s="26" t="s">
        <v>793</v>
      </c>
      <c r="D12" s="11" t="s">
        <v>794</v>
      </c>
      <c r="E12" s="11" t="s">
        <v>795</v>
      </c>
      <c r="F12" s="16" t="s">
        <v>796</v>
      </c>
    </row>
    <row r="13" customFormat="false" ht="15" hidden="false" customHeight="false" outlineLevel="0" collapsed="false">
      <c r="A13" s="11" t="s">
        <v>791</v>
      </c>
      <c r="B13" s="11" t="s">
        <v>797</v>
      </c>
      <c r="C13" s="26" t="s">
        <v>793</v>
      </c>
      <c r="D13" s="11" t="s">
        <v>794</v>
      </c>
      <c r="E13" s="11" t="s">
        <v>798</v>
      </c>
      <c r="F13" s="16" t="s">
        <v>796</v>
      </c>
    </row>
    <row r="14" customFormat="false" ht="23.85" hidden="false" customHeight="false" outlineLevel="0" collapsed="false">
      <c r="A14" s="11" t="s">
        <v>791</v>
      </c>
      <c r="B14" s="11" t="s">
        <v>799</v>
      </c>
      <c r="C14" s="26" t="s">
        <v>800</v>
      </c>
      <c r="D14" s="11" t="s">
        <v>801</v>
      </c>
      <c r="E14" s="11" t="s">
        <v>802</v>
      </c>
      <c r="F14" s="16" t="s">
        <v>796</v>
      </c>
    </row>
    <row r="15" customFormat="false" ht="15" hidden="false" customHeight="false" outlineLevel="0" collapsed="false">
      <c r="A15" s="11" t="s">
        <v>803</v>
      </c>
      <c r="B15" s="11" t="s">
        <v>804</v>
      </c>
      <c r="C15" s="26" t="s">
        <v>805</v>
      </c>
      <c r="D15" s="11" t="s">
        <v>806</v>
      </c>
      <c r="E15" s="11" t="s">
        <v>807</v>
      </c>
      <c r="F15" s="11" t="s">
        <v>787</v>
      </c>
    </row>
    <row r="16" customFormat="false" ht="15" hidden="false" customHeight="false" outlineLevel="0" collapsed="false">
      <c r="A16" s="11" t="s">
        <v>803</v>
      </c>
      <c r="B16" s="11" t="s">
        <v>808</v>
      </c>
      <c r="C16" s="26" t="s">
        <v>809</v>
      </c>
      <c r="D16" s="11" t="s">
        <v>810</v>
      </c>
      <c r="E16" s="11" t="s">
        <v>811</v>
      </c>
      <c r="F16" s="11" t="s">
        <v>787</v>
      </c>
    </row>
    <row r="17" customFormat="false" ht="15" hidden="false" customHeight="false" outlineLevel="0" collapsed="false">
      <c r="A17" s="11" t="s">
        <v>803</v>
      </c>
      <c r="B17" s="11" t="s">
        <v>812</v>
      </c>
      <c r="C17" s="26" t="s">
        <v>813</v>
      </c>
      <c r="D17" s="11" t="s">
        <v>801</v>
      </c>
      <c r="E17" s="11" t="s">
        <v>814</v>
      </c>
      <c r="F17" s="11" t="s">
        <v>787</v>
      </c>
    </row>
    <row r="18" customFormat="false" ht="15" hidden="false" customHeight="false" outlineLevel="0" collapsed="false">
      <c r="A18" s="11" t="s">
        <v>803</v>
      </c>
      <c r="B18" s="11" t="s">
        <v>815</v>
      </c>
      <c r="C18" s="26" t="s">
        <v>793</v>
      </c>
      <c r="D18" s="11" t="s">
        <v>794</v>
      </c>
      <c r="E18" s="11" t="s">
        <v>816</v>
      </c>
      <c r="F18" s="16" t="s">
        <v>796</v>
      </c>
    </row>
    <row r="19" customFormat="false" ht="15" hidden="false" customHeight="false" outlineLevel="0" collapsed="false">
      <c r="A19" s="11" t="s">
        <v>817</v>
      </c>
      <c r="B19" s="11" t="s">
        <v>818</v>
      </c>
      <c r="C19" s="26" t="s">
        <v>819</v>
      </c>
      <c r="D19" s="11" t="s">
        <v>801</v>
      </c>
      <c r="E19" s="11" t="s">
        <v>820</v>
      </c>
      <c r="F19" s="11" t="s">
        <v>787</v>
      </c>
    </row>
    <row r="20" customFormat="false" ht="15" hidden="false" customHeight="false" outlineLevel="0" collapsed="false">
      <c r="A20" s="11" t="s">
        <v>817</v>
      </c>
      <c r="B20" s="11" t="s">
        <v>821</v>
      </c>
      <c r="C20" s="26" t="s">
        <v>822</v>
      </c>
      <c r="D20" s="11" t="s">
        <v>801</v>
      </c>
      <c r="E20" s="11" t="s">
        <v>823</v>
      </c>
      <c r="F20" s="11" t="s">
        <v>787</v>
      </c>
    </row>
    <row r="21" customFormat="false" ht="15" hidden="false" customHeight="false" outlineLevel="0" collapsed="false">
      <c r="A21" s="11" t="s">
        <v>817</v>
      </c>
      <c r="B21" s="11" t="s">
        <v>824</v>
      </c>
      <c r="C21" s="26" t="s">
        <v>825</v>
      </c>
      <c r="D21" s="11" t="s">
        <v>801</v>
      </c>
      <c r="E21" s="11" t="s">
        <v>826</v>
      </c>
      <c r="F21" s="11" t="s">
        <v>787</v>
      </c>
    </row>
    <row r="22" customFormat="false" ht="15" hidden="false" customHeight="false" outlineLevel="0" collapsed="false">
      <c r="A22" s="11" t="s">
        <v>817</v>
      </c>
      <c r="B22" s="11" t="s">
        <v>827</v>
      </c>
      <c r="C22" s="11" t="s">
        <v>828</v>
      </c>
      <c r="D22" s="11" t="s">
        <v>829</v>
      </c>
      <c r="E22" s="11" t="s">
        <v>830</v>
      </c>
      <c r="F22" s="11" t="s">
        <v>764</v>
      </c>
    </row>
    <row r="23" customFormat="false" ht="15" hidden="false" customHeight="false" outlineLevel="0" collapsed="false">
      <c r="A23" s="11" t="s">
        <v>831</v>
      </c>
      <c r="B23" s="11" t="s">
        <v>832</v>
      </c>
      <c r="C23" s="26" t="s">
        <v>833</v>
      </c>
      <c r="D23" s="11" t="s">
        <v>801</v>
      </c>
      <c r="E23" s="11" t="s">
        <v>834</v>
      </c>
      <c r="F23" s="11" t="s">
        <v>787</v>
      </c>
    </row>
    <row r="24" customFormat="false" ht="15" hidden="false" customHeight="false" outlineLevel="0" collapsed="false">
      <c r="A24" s="11" t="s">
        <v>831</v>
      </c>
      <c r="B24" s="11" t="s">
        <v>835</v>
      </c>
      <c r="C24" s="11" t="s">
        <v>836</v>
      </c>
      <c r="D24" s="11" t="s">
        <v>837</v>
      </c>
      <c r="E24" s="11" t="s">
        <v>838</v>
      </c>
      <c r="F24" s="11" t="s">
        <v>764</v>
      </c>
    </row>
    <row r="25" customFormat="false" ht="15" hidden="false" customHeight="false" outlineLevel="0" collapsed="false">
      <c r="A25" s="11" t="s">
        <v>839</v>
      </c>
      <c r="B25" s="11" t="s">
        <v>840</v>
      </c>
      <c r="C25" s="26" t="s">
        <v>56</v>
      </c>
      <c r="D25" s="11" t="s">
        <v>841</v>
      </c>
      <c r="E25" s="11" t="s">
        <v>842</v>
      </c>
      <c r="F25" s="11" t="s">
        <v>787</v>
      </c>
    </row>
    <row r="26" customFormat="false" ht="15" hidden="false" customHeight="false" outlineLevel="0" collapsed="false">
      <c r="A26" s="11" t="s">
        <v>839</v>
      </c>
      <c r="B26" s="11" t="s">
        <v>843</v>
      </c>
      <c r="C26" s="26" t="s">
        <v>844</v>
      </c>
      <c r="D26" s="11" t="s">
        <v>845</v>
      </c>
      <c r="E26" s="11" t="s">
        <v>846</v>
      </c>
      <c r="F26" s="11" t="s">
        <v>787</v>
      </c>
    </row>
    <row r="27" customFormat="false" ht="15" hidden="false" customHeight="false" outlineLevel="0" collapsed="false">
      <c r="A27" s="11" t="s">
        <v>839</v>
      </c>
      <c r="B27" s="11" t="s">
        <v>847</v>
      </c>
      <c r="C27" s="26" t="s">
        <v>848</v>
      </c>
      <c r="D27" s="11" t="s">
        <v>845</v>
      </c>
      <c r="E27" s="11" t="s">
        <v>849</v>
      </c>
      <c r="F27" s="11" t="s">
        <v>787</v>
      </c>
    </row>
    <row r="28" customFormat="false" ht="15" hidden="false" customHeight="false" outlineLevel="0" collapsed="false">
      <c r="A28" s="11" t="s">
        <v>839</v>
      </c>
      <c r="B28" s="11" t="s">
        <v>850</v>
      </c>
      <c r="C28" s="26" t="s">
        <v>851</v>
      </c>
      <c r="D28" s="11" t="s">
        <v>801</v>
      </c>
      <c r="E28" s="11" t="s">
        <v>852</v>
      </c>
      <c r="F28" s="11" t="s">
        <v>787</v>
      </c>
    </row>
    <row r="29" customFormat="false" ht="15" hidden="false" customHeight="false" outlineLevel="0" collapsed="false">
      <c r="A29" s="11" t="s">
        <v>853</v>
      </c>
      <c r="B29" s="11" t="s">
        <v>854</v>
      </c>
      <c r="C29" s="26" t="s">
        <v>805</v>
      </c>
      <c r="D29" s="11" t="s">
        <v>855</v>
      </c>
      <c r="E29" s="11" t="s">
        <v>856</v>
      </c>
      <c r="F29" s="11" t="s">
        <v>787</v>
      </c>
    </row>
    <row r="30" customFormat="false" ht="15" hidden="false" customHeight="false" outlineLevel="0" collapsed="false">
      <c r="A30" s="11" t="s">
        <v>853</v>
      </c>
      <c r="B30" s="11" t="s">
        <v>857</v>
      </c>
      <c r="C30" s="11" t="s">
        <v>858</v>
      </c>
      <c r="D30" s="11" t="s">
        <v>801</v>
      </c>
      <c r="E30" s="11" t="s">
        <v>859</v>
      </c>
      <c r="F30" s="11" t="s">
        <v>764</v>
      </c>
    </row>
    <row r="31" customFormat="false" ht="15" hidden="false" customHeight="false" outlineLevel="0" collapsed="false">
      <c r="A31" s="11" t="s">
        <v>853</v>
      </c>
      <c r="B31" s="11" t="s">
        <v>860</v>
      </c>
      <c r="C31" s="26" t="s">
        <v>861</v>
      </c>
      <c r="D31" s="11" t="s">
        <v>862</v>
      </c>
      <c r="E31" s="11" t="s">
        <v>863</v>
      </c>
      <c r="F31" s="11" t="s">
        <v>787</v>
      </c>
    </row>
    <row r="32" customFormat="false" ht="15" hidden="false" customHeight="false" outlineLevel="0" collapsed="false">
      <c r="A32" s="11" t="s">
        <v>864</v>
      </c>
      <c r="B32" s="11" t="s">
        <v>865</v>
      </c>
      <c r="C32" s="26" t="s">
        <v>866</v>
      </c>
      <c r="D32" s="11" t="s">
        <v>867</v>
      </c>
      <c r="E32" s="11" t="s">
        <v>868</v>
      </c>
      <c r="F32" s="11" t="s">
        <v>787</v>
      </c>
    </row>
    <row r="33" customFormat="false" ht="15" hidden="false" customHeight="false" outlineLevel="0" collapsed="false">
      <c r="A33" s="11" t="s">
        <v>864</v>
      </c>
      <c r="B33" s="11" t="s">
        <v>869</v>
      </c>
      <c r="C33" s="26" t="s">
        <v>870</v>
      </c>
      <c r="D33" s="11" t="s">
        <v>871</v>
      </c>
      <c r="E33" s="11" t="s">
        <v>872</v>
      </c>
      <c r="F33" s="11" t="s">
        <v>787</v>
      </c>
    </row>
    <row r="34" customFormat="false" ht="15" hidden="false" customHeight="false" outlineLevel="0" collapsed="false">
      <c r="A34" s="11" t="s">
        <v>873</v>
      </c>
      <c r="B34" s="11" t="s">
        <v>874</v>
      </c>
      <c r="C34" s="11" t="s">
        <v>875</v>
      </c>
      <c r="D34" s="11" t="s">
        <v>801</v>
      </c>
      <c r="E34" s="11" t="s">
        <v>876</v>
      </c>
      <c r="F34" s="11" t="s">
        <v>764</v>
      </c>
    </row>
    <row r="35" customFormat="false" ht="15" hidden="false" customHeight="false" outlineLevel="0" collapsed="false">
      <c r="A35" s="11" t="s">
        <v>873</v>
      </c>
      <c r="B35" s="11" t="s">
        <v>877</v>
      </c>
      <c r="C35" s="26" t="s">
        <v>878</v>
      </c>
      <c r="D35" s="11" t="s">
        <v>879</v>
      </c>
      <c r="E35" s="11" t="s">
        <v>880</v>
      </c>
      <c r="F35" s="11" t="s">
        <v>787</v>
      </c>
    </row>
  </sheetData>
  <autoFilter ref="A4:F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58"/>
    <col collapsed="false" customWidth="true" hidden="false" outlineLevel="0" max="4" min="4" style="0" width="12"/>
    <col collapsed="false" customWidth="true" hidden="false" outlineLevel="0" max="5" min="5" style="0" width="30"/>
  </cols>
  <sheetData>
    <row r="1" customFormat="false" ht="17.35" hidden="false" customHeight="false" outlineLevel="0" collapsed="false">
      <c r="A1" s="1" t="s">
        <v>881</v>
      </c>
    </row>
    <row r="2" customFormat="false" ht="15" hidden="false" customHeight="false" outlineLevel="0" collapsed="false">
      <c r="A2" s="2" t="s">
        <v>882</v>
      </c>
    </row>
    <row r="4" customFormat="false" ht="15" hidden="false" customHeight="false" outlineLevel="0" collapsed="false">
      <c r="A4" s="9" t="s">
        <v>883</v>
      </c>
      <c r="B4" s="9" t="s">
        <v>884</v>
      </c>
      <c r="C4" s="9" t="s">
        <v>885</v>
      </c>
      <c r="D4" s="9" t="s">
        <v>886</v>
      </c>
      <c r="E4" s="9" t="s">
        <v>887</v>
      </c>
    </row>
    <row r="5" customFormat="false" ht="15" hidden="false" customHeight="false" outlineLevel="0" collapsed="false">
      <c r="A5" s="11" t="s">
        <v>888</v>
      </c>
      <c r="B5" s="11" t="s">
        <v>889</v>
      </c>
      <c r="C5" s="11" t="s">
        <v>890</v>
      </c>
      <c r="D5" s="26" t="s">
        <v>891</v>
      </c>
      <c r="E5" s="11"/>
    </row>
    <row r="6" customFormat="false" ht="15" hidden="false" customHeight="false" outlineLevel="0" collapsed="false">
      <c r="A6" s="11" t="s">
        <v>892</v>
      </c>
      <c r="B6" s="11" t="s">
        <v>893</v>
      </c>
      <c r="C6" s="11" t="s">
        <v>894</v>
      </c>
      <c r="D6" s="26" t="s">
        <v>891</v>
      </c>
      <c r="E6" s="11"/>
    </row>
    <row r="7" customFormat="false" ht="15" hidden="false" customHeight="false" outlineLevel="0" collapsed="false">
      <c r="A7" s="11" t="s">
        <v>895</v>
      </c>
      <c r="B7" s="11" t="s">
        <v>896</v>
      </c>
      <c r="C7" s="11" t="s">
        <v>897</v>
      </c>
      <c r="D7" s="26" t="s">
        <v>891</v>
      </c>
      <c r="E7" s="11"/>
    </row>
    <row r="8" customFormat="false" ht="15" hidden="false" customHeight="false" outlineLevel="0" collapsed="false">
      <c r="A8" s="11" t="s">
        <v>898</v>
      </c>
      <c r="B8" s="11" t="s">
        <v>899</v>
      </c>
      <c r="C8" s="11" t="s">
        <v>900</v>
      </c>
      <c r="D8" s="26" t="s">
        <v>891</v>
      </c>
      <c r="E8" s="11"/>
    </row>
    <row r="9" customFormat="false" ht="15" hidden="false" customHeight="false" outlineLevel="0" collapsed="false">
      <c r="A9" s="11" t="s">
        <v>901</v>
      </c>
      <c r="B9" s="11" t="s">
        <v>902</v>
      </c>
      <c r="C9" s="11" t="s">
        <v>903</v>
      </c>
      <c r="D9" s="26" t="s">
        <v>891</v>
      </c>
      <c r="E9" s="11"/>
    </row>
    <row r="10" customFormat="false" ht="15" hidden="false" customHeight="false" outlineLevel="0" collapsed="false">
      <c r="A10" s="11" t="s">
        <v>904</v>
      </c>
      <c r="B10" s="11" t="s">
        <v>905</v>
      </c>
      <c r="C10" s="11" t="s">
        <v>906</v>
      </c>
      <c r="D10" s="26" t="s">
        <v>891</v>
      </c>
      <c r="E10" s="11"/>
    </row>
    <row r="11" customFormat="false" ht="15" hidden="false" customHeight="false" outlineLevel="0" collapsed="false">
      <c r="A11" s="11" t="s">
        <v>907</v>
      </c>
      <c r="B11" s="11" t="s">
        <v>908</v>
      </c>
      <c r="C11" s="11" t="s">
        <v>909</v>
      </c>
      <c r="D11" s="26" t="s">
        <v>891</v>
      </c>
      <c r="E11" s="11"/>
    </row>
    <row r="12" customFormat="false" ht="15" hidden="false" customHeight="false" outlineLevel="0" collapsed="false">
      <c r="A12" s="11" t="s">
        <v>910</v>
      </c>
      <c r="B12" s="11" t="s">
        <v>911</v>
      </c>
      <c r="C12" s="11" t="s">
        <v>912</v>
      </c>
      <c r="D12" s="26" t="s">
        <v>891</v>
      </c>
      <c r="E12" s="11"/>
    </row>
    <row r="13" customFormat="false" ht="15" hidden="false" customHeight="false" outlineLevel="0" collapsed="false">
      <c r="A13" s="11" t="s">
        <v>913</v>
      </c>
      <c r="B13" s="11" t="s">
        <v>914</v>
      </c>
      <c r="C13" s="11" t="s">
        <v>915</v>
      </c>
      <c r="D13" s="26" t="s">
        <v>891</v>
      </c>
      <c r="E13" s="11"/>
    </row>
    <row r="14" customFormat="false" ht="15" hidden="false" customHeight="false" outlineLevel="0" collapsed="false">
      <c r="A14" s="11" t="s">
        <v>916</v>
      </c>
      <c r="B14" s="11" t="s">
        <v>917</v>
      </c>
      <c r="C14" s="11" t="s">
        <v>918</v>
      </c>
      <c r="D14" s="26" t="s">
        <v>891</v>
      </c>
      <c r="E14" s="11"/>
    </row>
    <row r="15" customFormat="false" ht="15" hidden="false" customHeight="false" outlineLevel="0" collapsed="false">
      <c r="A15" s="11" t="s">
        <v>919</v>
      </c>
      <c r="B15" s="11" t="s">
        <v>920</v>
      </c>
      <c r="C15" s="11" t="s">
        <v>921</v>
      </c>
      <c r="D15" s="26" t="s">
        <v>891</v>
      </c>
      <c r="E15" s="11"/>
    </row>
    <row r="16" customFormat="false" ht="15" hidden="false" customHeight="false" outlineLevel="0" collapsed="false">
      <c r="A16" s="11" t="s">
        <v>922</v>
      </c>
      <c r="B16" s="11" t="s">
        <v>923</v>
      </c>
      <c r="C16" s="11" t="s">
        <v>924</v>
      </c>
      <c r="D16" s="26" t="s">
        <v>891</v>
      </c>
      <c r="E16" s="11"/>
    </row>
    <row r="17" customFormat="false" ht="15" hidden="false" customHeight="false" outlineLevel="0" collapsed="false">
      <c r="A17" s="11" t="s">
        <v>925</v>
      </c>
      <c r="B17" s="11" t="s">
        <v>926</v>
      </c>
      <c r="C17" s="11" t="s">
        <v>927</v>
      </c>
      <c r="D17" s="26" t="s">
        <v>891</v>
      </c>
      <c r="E17" s="11"/>
    </row>
    <row r="18" customFormat="false" ht="15" hidden="false" customHeight="false" outlineLevel="0" collapsed="false">
      <c r="A18" s="11" t="s">
        <v>928</v>
      </c>
      <c r="B18" s="11" t="s">
        <v>929</v>
      </c>
      <c r="C18" s="11" t="s">
        <v>930</v>
      </c>
      <c r="D18" s="26" t="s">
        <v>891</v>
      </c>
      <c r="E18" s="11"/>
    </row>
    <row r="19" customFormat="false" ht="15" hidden="false" customHeight="false" outlineLevel="0" collapsed="false">
      <c r="A19" s="11" t="s">
        <v>931</v>
      </c>
      <c r="B19" s="11" t="s">
        <v>932</v>
      </c>
      <c r="C19" s="11" t="s">
        <v>933</v>
      </c>
      <c r="D19" s="26" t="s">
        <v>891</v>
      </c>
      <c r="E19" s="11"/>
    </row>
    <row r="20" customFormat="false" ht="15" hidden="false" customHeight="false" outlineLevel="0" collapsed="false">
      <c r="A20" s="11" t="s">
        <v>934</v>
      </c>
      <c r="B20" s="11" t="s">
        <v>935</v>
      </c>
      <c r="C20" s="11" t="s">
        <v>936</v>
      </c>
      <c r="D20" s="26" t="s">
        <v>891</v>
      </c>
      <c r="E20" s="11"/>
    </row>
    <row r="21" customFormat="false" ht="15" hidden="false" customHeight="false" outlineLevel="0" collapsed="false">
      <c r="A21" s="11" t="s">
        <v>937</v>
      </c>
      <c r="B21" s="11" t="s">
        <v>938</v>
      </c>
      <c r="C21" s="11" t="s">
        <v>939</v>
      </c>
      <c r="D21" s="26" t="s">
        <v>891</v>
      </c>
      <c r="E21"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60"/>
    <col collapsed="false" customWidth="true" hidden="false" outlineLevel="0" max="3" min="3" style="0" width="56"/>
    <col collapsed="false" customWidth="true" hidden="false" outlineLevel="0" max="4" min="4" style="0" width="10"/>
  </cols>
  <sheetData>
    <row r="1" customFormat="false" ht="17.35" hidden="false" customHeight="false" outlineLevel="0" collapsed="false">
      <c r="A1" s="1" t="s">
        <v>940</v>
      </c>
    </row>
    <row r="2" customFormat="false" ht="15" hidden="false" customHeight="false" outlineLevel="0" collapsed="false">
      <c r="A2" s="2" t="s">
        <v>941</v>
      </c>
    </row>
    <row r="4" customFormat="false" ht="15" hidden="false" customHeight="false" outlineLevel="0" collapsed="false">
      <c r="A4" s="9" t="s">
        <v>942</v>
      </c>
      <c r="B4" s="9" t="s">
        <v>943</v>
      </c>
      <c r="C4" s="9" t="s">
        <v>944</v>
      </c>
      <c r="D4" s="9" t="s">
        <v>945</v>
      </c>
    </row>
    <row r="5" customFormat="false" ht="15" hidden="false" customHeight="false" outlineLevel="0" collapsed="false">
      <c r="A5" s="11" t="s">
        <v>946</v>
      </c>
      <c r="B5" s="11" t="s">
        <v>947</v>
      </c>
      <c r="C5" s="11" t="s">
        <v>948</v>
      </c>
      <c r="D5" s="16" t="s">
        <v>949</v>
      </c>
    </row>
    <row r="6" customFormat="false" ht="15" hidden="false" customHeight="false" outlineLevel="0" collapsed="false">
      <c r="A6" s="11" t="s">
        <v>950</v>
      </c>
      <c r="B6" s="11" t="s">
        <v>951</v>
      </c>
      <c r="C6" s="11" t="s">
        <v>952</v>
      </c>
      <c r="D6" s="11" t="s">
        <v>953</v>
      </c>
    </row>
    <row r="7" customFormat="false" ht="15" hidden="false" customHeight="false" outlineLevel="0" collapsed="false">
      <c r="A7" s="11" t="s">
        <v>954</v>
      </c>
      <c r="B7" s="11" t="s">
        <v>955</v>
      </c>
      <c r="C7" s="11" t="s">
        <v>956</v>
      </c>
      <c r="D7" s="11" t="s">
        <v>953</v>
      </c>
    </row>
    <row r="8" customFormat="false" ht="15" hidden="false" customHeight="false" outlineLevel="0" collapsed="false">
      <c r="A8" s="11" t="s">
        <v>957</v>
      </c>
      <c r="B8" s="11" t="s">
        <v>958</v>
      </c>
      <c r="C8" s="11" t="s">
        <v>959</v>
      </c>
      <c r="D8" s="16" t="s">
        <v>949</v>
      </c>
    </row>
    <row r="9" customFormat="false" ht="15" hidden="false" customHeight="false" outlineLevel="0" collapsed="false">
      <c r="A9" s="11" t="s">
        <v>960</v>
      </c>
      <c r="B9" s="11" t="s">
        <v>961</v>
      </c>
      <c r="C9" s="11" t="s">
        <v>962</v>
      </c>
      <c r="D9" s="11" t="s">
        <v>953</v>
      </c>
    </row>
    <row r="10" customFormat="false" ht="15" hidden="false" customHeight="false" outlineLevel="0" collapsed="false">
      <c r="A10" s="11" t="s">
        <v>963</v>
      </c>
      <c r="B10" s="11" t="s">
        <v>964</v>
      </c>
      <c r="C10" s="11" t="s">
        <v>965</v>
      </c>
      <c r="D10" s="11" t="s">
        <v>966</v>
      </c>
    </row>
    <row r="11" customFormat="false" ht="15" hidden="false" customHeight="false" outlineLevel="0" collapsed="false">
      <c r="A11" s="11" t="s">
        <v>967</v>
      </c>
      <c r="B11" s="11" t="s">
        <v>968</v>
      </c>
      <c r="C11" s="11" t="s">
        <v>969</v>
      </c>
      <c r="D11" s="11" t="s">
        <v>966</v>
      </c>
    </row>
    <row r="12" customFormat="false" ht="15" hidden="false" customHeight="false" outlineLevel="0" collapsed="false">
      <c r="A12" s="11" t="s">
        <v>970</v>
      </c>
      <c r="B12" s="11" t="s">
        <v>971</v>
      </c>
      <c r="C12" s="11" t="s">
        <v>972</v>
      </c>
      <c r="D12" s="11" t="s">
        <v>966</v>
      </c>
    </row>
    <row r="13" customFormat="false" ht="15" hidden="false" customHeight="false" outlineLevel="0" collapsed="false">
      <c r="A13" s="11" t="s">
        <v>973</v>
      </c>
      <c r="B13" s="11" t="s">
        <v>974</v>
      </c>
      <c r="C13" s="11" t="s">
        <v>975</v>
      </c>
      <c r="D13" s="16" t="s">
        <v>949</v>
      </c>
    </row>
    <row r="14" customFormat="false" ht="23.85" hidden="false" customHeight="false" outlineLevel="0" collapsed="false">
      <c r="A14" s="11" t="s">
        <v>976</v>
      </c>
      <c r="B14" s="11" t="s">
        <v>977</v>
      </c>
      <c r="C14" s="11" t="s">
        <v>978</v>
      </c>
      <c r="D14" s="16" t="s">
        <v>949</v>
      </c>
    </row>
    <row r="15" customFormat="false" ht="15" hidden="false" customHeight="false" outlineLevel="0" collapsed="false">
      <c r="A15" s="11" t="s">
        <v>979</v>
      </c>
      <c r="B15" s="11" t="s">
        <v>980</v>
      </c>
      <c r="C15" s="11" t="s">
        <v>981</v>
      </c>
      <c r="D15" s="16" t="s">
        <v>949</v>
      </c>
    </row>
    <row r="16" customFormat="false" ht="15" hidden="false" customHeight="false" outlineLevel="0" collapsed="false">
      <c r="A16" s="11" t="s">
        <v>982</v>
      </c>
      <c r="B16" s="11" t="s">
        <v>983</v>
      </c>
      <c r="C16" s="11" t="s">
        <v>984</v>
      </c>
      <c r="D16" s="11" t="s">
        <v>953</v>
      </c>
    </row>
    <row r="17" customFormat="false" ht="15" hidden="false" customHeight="false" outlineLevel="0" collapsed="false">
      <c r="A17" s="11" t="s">
        <v>985</v>
      </c>
      <c r="B17" s="11" t="s">
        <v>986</v>
      </c>
      <c r="C17" s="11" t="s">
        <v>987</v>
      </c>
      <c r="D17" s="11" t="s">
        <v>966</v>
      </c>
    </row>
    <row r="18" customFormat="false" ht="15" hidden="false" customHeight="false" outlineLevel="0" collapsed="false">
      <c r="A18" s="11" t="s">
        <v>988</v>
      </c>
      <c r="B18" s="11" t="s">
        <v>989</v>
      </c>
      <c r="C18" s="11" t="s">
        <v>990</v>
      </c>
      <c r="D18" s="16" t="s">
        <v>949</v>
      </c>
    </row>
    <row r="19" customFormat="false" ht="15" hidden="false" customHeight="false" outlineLevel="0" collapsed="false">
      <c r="A19" s="11" t="s">
        <v>374</v>
      </c>
      <c r="B19" s="11" t="s">
        <v>991</v>
      </c>
      <c r="C19" s="11" t="s">
        <v>992</v>
      </c>
      <c r="D19" s="11" t="s">
        <v>953</v>
      </c>
    </row>
    <row r="20" customFormat="false" ht="15" hidden="false" customHeight="false" outlineLevel="0" collapsed="false">
      <c r="A20" s="11" t="s">
        <v>993</v>
      </c>
      <c r="B20" s="11" t="s">
        <v>994</v>
      </c>
      <c r="C20" s="11" t="s">
        <v>995</v>
      </c>
      <c r="D20" s="11" t="s">
        <v>966</v>
      </c>
    </row>
    <row r="21" customFormat="false" ht="15" hidden="false" customHeight="false" outlineLevel="0" collapsed="false">
      <c r="A21" s="11" t="s">
        <v>996</v>
      </c>
      <c r="B21" s="11" t="s">
        <v>997</v>
      </c>
      <c r="C21" s="11" t="s">
        <v>998</v>
      </c>
      <c r="D21" s="11" t="s">
        <v>966</v>
      </c>
    </row>
    <row r="22" customFormat="false" ht="15" hidden="false" customHeight="false" outlineLevel="0" collapsed="false">
      <c r="A22" s="11" t="s">
        <v>999</v>
      </c>
      <c r="B22" s="11" t="s">
        <v>1000</v>
      </c>
      <c r="C22" s="11" t="s">
        <v>1001</v>
      </c>
      <c r="D22" s="11" t="s">
        <v>953</v>
      </c>
    </row>
    <row r="23" customFormat="false" ht="23.85" hidden="false" customHeight="false" outlineLevel="0" collapsed="false">
      <c r="A23" s="11" t="s">
        <v>1002</v>
      </c>
      <c r="B23" s="11" t="s">
        <v>1003</v>
      </c>
      <c r="C23" s="11" t="s">
        <v>1004</v>
      </c>
      <c r="D23" s="11" t="s">
        <v>953</v>
      </c>
    </row>
    <row r="24" customFormat="false" ht="15" hidden="false" customHeight="false" outlineLevel="0" collapsed="false">
      <c r="A24" s="11" t="s">
        <v>1005</v>
      </c>
      <c r="B24" s="11" t="s">
        <v>1006</v>
      </c>
      <c r="C24" s="11" t="s">
        <v>1007</v>
      </c>
      <c r="D24" s="27" t="s">
        <v>1008</v>
      </c>
    </row>
    <row r="25" customFormat="false" ht="15" hidden="false" customHeight="false" outlineLevel="0" collapsed="false">
      <c r="A25" s="11" t="s">
        <v>1009</v>
      </c>
      <c r="B25" s="11" t="s">
        <v>1010</v>
      </c>
      <c r="C25" s="11" t="s">
        <v>1011</v>
      </c>
      <c r="D25" s="11" t="s">
        <v>966</v>
      </c>
    </row>
    <row r="26" customFormat="false" ht="15" hidden="false" customHeight="false" outlineLevel="0" collapsed="false">
      <c r="A26" s="11" t="s">
        <v>1012</v>
      </c>
      <c r="B26" s="11" t="s">
        <v>1010</v>
      </c>
      <c r="C26" s="11" t="s">
        <v>1013</v>
      </c>
      <c r="D26" s="27" t="s">
        <v>1008</v>
      </c>
    </row>
    <row r="27" customFormat="false" ht="15" hidden="false" customHeight="false" outlineLevel="0" collapsed="false">
      <c r="A27" s="11" t="s">
        <v>1014</v>
      </c>
      <c r="B27" s="11" t="s">
        <v>1015</v>
      </c>
      <c r="C27" s="11" t="s">
        <v>1007</v>
      </c>
      <c r="D27" s="27" t="s">
        <v>1008</v>
      </c>
    </row>
    <row r="28" customFormat="false" ht="35.05" hidden="false" customHeight="false" outlineLevel="0" collapsed="false">
      <c r="A28" s="11" t="s">
        <v>1016</v>
      </c>
      <c r="B28" s="11" t="s">
        <v>1017</v>
      </c>
      <c r="C28" s="11" t="s">
        <v>1018</v>
      </c>
      <c r="D28" s="16" t="s">
        <v>949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2026-10-11T09:37:52Z</dcterms:created>
  <dc:creator>openpyxl</dc:creator>
  <dc:description/>
  <dc:language>en-US</dc:language>
  <cp:lastModifiedBy/>
  <dcterms:modified xsi:type="dcterms:W3CDTF">2026-10-11T09:37:52Z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